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월별추이" sheetId="1" state="visible" r:id="rId3"/>
    <sheet name="자산관리" sheetId="2" state="visible" r:id="rId4"/>
    <sheet name="1월" sheetId="3" state="visible" r:id="rId5"/>
    <sheet name="2월" sheetId="4" state="visible" r:id="rId6"/>
    <sheet name="3월" sheetId="5" state="visible" r:id="rId7"/>
    <sheet name="4월" sheetId="6" state="visible" r:id="rId8"/>
    <sheet name="5월" sheetId="7" state="visible" r:id="rId9"/>
    <sheet name="6월" sheetId="8" state="visible" r:id="rId10"/>
    <sheet name="7월" sheetId="9" state="visible" r:id="rId11"/>
    <sheet name="8월" sheetId="10" state="visible" r:id="rId12"/>
    <sheet name="9월" sheetId="11" state="visible" r:id="rId13"/>
    <sheet name="10월" sheetId="12" state="visible" r:id="rId14"/>
    <sheet name="11월" sheetId="13" state="visible" r:id="rId15"/>
    <sheet name="12월" sheetId="14" state="visible" r:id="rId16"/>
    <sheet name="설정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<sst xmlns="http://schemas.openxmlformats.org/spreadsheetml/2006/main" count="725" uniqueCount="114">
  <si>
    <r>
      <rPr>
        <sz val="9"/>
        <color rgb="FF6B7280"/>
        <rFont val="Noto Sans CJK SC"/>
        <family val="2"/>
      </rPr>
      <t xml:space="preserve">각 월 시트에서 자동으로 가져옵니다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입력 불필요</t>
    </r>
    <r>
      <rPr>
        <sz val="9"/>
        <color rgb="FF6B7280"/>
        <rFont val="맑은 고딕"/>
        <family val="0"/>
        <charset val="1"/>
      </rPr>
      <t xml:space="preserve">)</t>
    </r>
  </si>
  <si>
    <t xml:space="preserve">월</t>
  </si>
  <si>
    <t xml:space="preserve">총 수입</t>
  </si>
  <si>
    <t xml:space="preserve">총 지출</t>
  </si>
  <si>
    <t xml:space="preserve">고정비</t>
  </si>
  <si>
    <t xml:space="preserve">변동비</t>
  </si>
  <si>
    <t xml:space="preserve">저축</t>
  </si>
  <si>
    <t xml:space="preserve">저축률</t>
  </si>
  <si>
    <t xml:space="preserve">누적 저축</t>
  </si>
  <si>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</si>
  <si>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</si>
  <si>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</si>
  <si>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</si>
  <si>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5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</si>
  <si>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</si>
  <si>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7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</si>
  <si>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8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</si>
  <si>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9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</si>
  <si>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10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</si>
  <si>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11</t>
    </r>
    <r>
      <rPr>
        <sz val="10"/>
        <color rgb="FF1F2937"/>
        <rFont val="Noto Sans CJK SC"/>
        <family val="2"/>
      </rPr>
      <t xml:space="preserve">월</t>
    </r>
  </si>
  <si>
    <r>
      <rPr>
        <sz val="10"/>
        <color rgb="FF1F2937"/>
        <rFont val="맑은 고딕"/>
        <family val="0"/>
        <charset val="1"/>
      </rPr>
      <t xml:space="preserve">12</t>
    </r>
    <r>
      <rPr>
        <sz val="10"/>
        <color rgb="FF1F2937"/>
        <rFont val="Noto Sans CJK SC"/>
        <family val="2"/>
      </rPr>
      <t xml:space="preserve">월</t>
    </r>
  </si>
  <si>
    <t xml:space="preserve">합계</t>
  </si>
  <si>
    <r>
      <rPr>
        <b val="true"/>
        <sz val="10"/>
        <color rgb="FF1F2937"/>
        <rFont val="Noto Sans CJK SC"/>
        <family val="2"/>
      </rPr>
      <t xml:space="preserve">월평균</t>
    </r>
    <r>
      <rPr>
        <b val="true"/>
        <sz val="10"/>
        <color rgb="FF1F2937"/>
        <rFont val="맑은 고딕"/>
        <family val="0"/>
        <charset val="1"/>
      </rPr>
      <t xml:space="preserve">(</t>
    </r>
    <r>
      <rPr>
        <b val="true"/>
        <sz val="10"/>
        <color rgb="FF1F2937"/>
        <rFont val="Noto Sans CJK SC"/>
        <family val="2"/>
      </rPr>
      <t xml:space="preserve">입력월</t>
    </r>
    <r>
      <rPr>
        <b val="true"/>
        <sz val="10"/>
        <color rgb="FF1F2937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</si>
  <si>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매월 말 기준 잔액을 노란 칸에 입력하세요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부채는 양수로 입력합니다</t>
    </r>
    <r>
      <rPr>
        <sz val="9"/>
        <color rgb="FF6B7280"/>
        <rFont val="맑은 고딕"/>
        <family val="0"/>
        <charset val="1"/>
      </rPr>
      <t xml:space="preserve">.</t>
    </r>
  </si>
  <si>
    <t xml:space="preserve">대분류</t>
  </si>
  <si>
    <t xml:space="preserve">중분류</t>
  </si>
  <si>
    <t xml:space="preserve">소분류</t>
  </si>
  <si>
    <r>
      <rPr>
        <b val="true"/>
        <sz val="10"/>
        <color rgb="FF1F2937"/>
        <rFont val="맑은 고딕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</si>
  <si>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2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</si>
  <si>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3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</si>
  <si>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4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</si>
  <si>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5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</si>
  <si>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6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</si>
  <si>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7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</si>
  <si>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8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</si>
  <si>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9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</si>
  <si>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10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</si>
  <si>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11</t>
    </r>
    <r>
      <rPr>
        <b val="true"/>
        <sz val="10"/>
        <color rgb="FF1F2937"/>
        <rFont val="Noto Sans CJK SC"/>
        <family val="2"/>
      </rPr>
      <t xml:space="preserve">월</t>
    </r>
  </si>
  <si>
    <r>
      <rPr>
        <b val="true"/>
        <sz val="10"/>
        <color rgb="FF1F2937"/>
        <rFont val="맑은 고딕"/>
        <family val="0"/>
        <charset val="1"/>
      </rPr>
      <t xml:space="preserve">12</t>
    </r>
    <r>
      <rPr>
        <b val="true"/>
        <sz val="10"/>
        <color rgb="FF1F2937"/>
        <rFont val="Noto Sans CJK SC"/>
        <family val="2"/>
      </rPr>
      <t xml:space="preserve">월</t>
    </r>
  </si>
  <si>
    <t xml:space="preserve">유동자산</t>
  </si>
  <si>
    <t xml:space="preserve">현금</t>
  </si>
  <si>
    <t xml:space="preserve">복지포인트</t>
  </si>
  <si>
    <t xml:space="preserve">예비현금</t>
  </si>
  <si>
    <t xml:space="preserve">투자</t>
  </si>
  <si>
    <t xml:space="preserve">참주식</t>
  </si>
  <si>
    <t xml:space="preserve">정윤주식</t>
  </si>
  <si>
    <t xml:space="preserve">비트코인</t>
  </si>
  <si>
    <t xml:space="preserve">비유동자산</t>
  </si>
  <si>
    <t xml:space="preserve">부동산</t>
  </si>
  <si>
    <t xml:space="preserve">아파트</t>
  </si>
  <si>
    <t xml:space="preserve">퇴직금</t>
  </si>
  <si>
    <t xml:space="preserve">참퇴직금</t>
  </si>
  <si>
    <t xml:space="preserve">정윤퇴직금</t>
  </si>
  <si>
    <t xml:space="preserve">청약</t>
  </si>
  <si>
    <t xml:space="preserve">참청약</t>
  </si>
  <si>
    <t xml:space="preserve">정윤청약</t>
  </si>
  <si>
    <t xml:space="preserve">부채</t>
  </si>
  <si>
    <t xml:space="preserve">대출</t>
  </si>
  <si>
    <t xml:space="preserve">주택담보대출</t>
  </si>
  <si>
    <t xml:space="preserve">신용대출</t>
  </si>
  <si>
    <t xml:space="preserve">사내대출</t>
  </si>
  <si>
    <t xml:space="preserve">▲ 항목 추가 시 이 행 위에 행 삽입</t>
  </si>
  <si>
    <t xml:space="preserve">요약</t>
  </si>
  <si>
    <t xml:space="preserve">유동자산 합계</t>
  </si>
  <si>
    <t xml:space="preserve">비유동자산 합계</t>
  </si>
  <si>
    <t xml:space="preserve">총자산</t>
  </si>
  <si>
    <t xml:space="preserve">부채 합계</t>
  </si>
  <si>
    <t xml:space="preserve">순자산</t>
  </si>
  <si>
    <r>
      <rPr>
        <sz val="10"/>
        <color rgb="FF1F2937"/>
        <rFont val="Noto Sans CJK SC"/>
        <family val="2"/>
      </rPr>
      <t xml:space="preserve">부채비율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부채</t>
    </r>
    <r>
      <rPr>
        <sz val="10"/>
        <color rgb="FF1F2937"/>
        <rFont val="맑은 고딕"/>
        <family val="0"/>
        <charset val="1"/>
      </rPr>
      <t xml:space="preserve">/</t>
    </r>
    <r>
      <rPr>
        <sz val="10"/>
        <color rgb="FF1F2937"/>
        <rFont val="Noto Sans CJK SC"/>
        <family val="2"/>
      </rPr>
      <t xml:space="preserve">총자산</t>
    </r>
    <r>
      <rPr>
        <sz val="10"/>
        <color rgb="FF1F2937"/>
        <rFont val="맑은 고딕"/>
        <family val="0"/>
        <charset val="1"/>
      </rPr>
      <t xml:space="preserve">)</t>
    </r>
  </si>
  <si>
    <t xml:space="preserve">전월 대비 총자산 증감</t>
  </si>
  <si>
    <t xml:space="preserve">총자산 증감률</t>
  </si>
  <si>
    <t xml:space="preserve">전월 대비 순자산 증감</t>
  </si>
  <si>
    <r>
      <rPr>
        <b val="true"/>
        <sz val="10"/>
        <color rgb="FF1F2937"/>
        <rFont val="Noto Sans CJK SC"/>
        <family val="2"/>
      </rPr>
      <t xml:space="preserve">순자산 증감률 </t>
    </r>
    <r>
      <rPr>
        <b val="true"/>
        <sz val="10"/>
        <color rgb="FF1F2937"/>
        <rFont val="맑은 고딕"/>
        <family val="0"/>
        <charset val="1"/>
      </rPr>
      <t xml:space="preserve">(</t>
    </r>
    <r>
      <rPr>
        <b val="true"/>
        <sz val="10"/>
        <color rgb="FF1F2937"/>
        <rFont val="Noto Sans CJK SC"/>
        <family val="2"/>
      </rPr>
      <t xml:space="preserve">수익률</t>
    </r>
    <r>
      <rPr>
        <b val="true"/>
        <sz val="10"/>
        <color rgb="FF1F2937"/>
        <rFont val="맑은 고딕"/>
        <family val="0"/>
        <charset val="1"/>
      </rPr>
      <t xml:space="preserve">)</t>
    </r>
  </si>
  <si>
    <r>
      <rPr>
        <sz val="10"/>
        <color rgb="FF1F2937"/>
        <rFont val="Noto Sans CJK SC"/>
        <family val="2"/>
      </rPr>
      <t xml:space="preserve">이번 달 저축액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가계부</t>
    </r>
    <r>
      <rPr>
        <sz val="10"/>
        <color rgb="FF1F2937"/>
        <rFont val="맑은 고딕"/>
        <family val="0"/>
        <charset val="1"/>
      </rPr>
      <t xml:space="preserve">)</t>
    </r>
  </si>
  <si>
    <r>
      <rPr>
        <sz val="10"/>
        <color rgb="FF1F2937"/>
        <rFont val="Noto Sans CJK SC"/>
        <family val="2"/>
      </rPr>
      <t xml:space="preserve">저축 외 자산 변동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투자손익 등</t>
    </r>
    <r>
      <rPr>
        <sz val="10"/>
        <color rgb="FF1F2937"/>
        <rFont val="맑은 고딕"/>
        <family val="0"/>
        <charset val="1"/>
      </rPr>
      <t xml:space="preserve">)</t>
    </r>
  </si>
  <si>
    <t xml:space="preserve">저축 제외 수익률</t>
  </si>
  <si>
    <r>
      <rPr>
        <sz val="9"/>
        <color rgb="FF6B7280"/>
        <rFont val="Noto Sans CJK SC"/>
        <family val="2"/>
      </rPr>
      <t xml:space="preserve">중분류를 새로 만들었다면 이 표에도 한 줄 추가하세요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대분류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중분류만 적으면 자동 합산</t>
    </r>
    <r>
      <rPr>
        <sz val="9"/>
        <color rgb="FF6B7280"/>
        <rFont val="맑은 고딕"/>
        <family val="0"/>
        <charset val="1"/>
      </rPr>
      <t xml:space="preserve">).</t>
    </r>
  </si>
  <si>
    <r>
      <rPr>
        <sz val="9"/>
        <color rgb="FF6B7280"/>
        <rFont val="Noto Sans CJK SC"/>
        <family val="2"/>
      </rPr>
      <t xml:space="preserve">노란 칸에 금액을 입력하세요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저축 </t>
    </r>
    <r>
      <rPr>
        <sz val="9"/>
        <color rgb="FF6B7280"/>
        <rFont val="맑은 고딕"/>
        <family val="0"/>
        <charset val="1"/>
      </rPr>
      <t xml:space="preserve">= </t>
    </r>
    <r>
      <rPr>
        <sz val="9"/>
        <color rgb="FF6B7280"/>
        <rFont val="Noto Sans CJK SC"/>
        <family val="2"/>
      </rPr>
      <t xml:space="preserve">수입 − 지출</t>
    </r>
  </si>
  <si>
    <t xml:space="preserve">금액</t>
  </si>
  <si>
    <t xml:space="preserve">그래프 데이터</t>
  </si>
  <si>
    <t xml:space="preserve">  고정비</t>
  </si>
  <si>
    <t xml:space="preserve">  변동비</t>
  </si>
  <si>
    <r>
      <rPr>
        <b val="true"/>
        <sz val="10"/>
        <color rgb="FF1F2937"/>
        <rFont val="Noto Sans CJK SC"/>
        <family val="2"/>
      </rPr>
      <t xml:space="preserve">저축 </t>
    </r>
    <r>
      <rPr>
        <b val="true"/>
        <sz val="10"/>
        <color rgb="FF1F2937"/>
        <rFont val="맑은 고딕"/>
        <family val="0"/>
        <charset val="1"/>
      </rPr>
      <t xml:space="preserve">(</t>
    </r>
    <r>
      <rPr>
        <b val="true"/>
        <sz val="10"/>
        <color rgb="FF1F2937"/>
        <rFont val="Noto Sans CJK SC"/>
        <family val="2"/>
      </rPr>
      <t xml:space="preserve">수입−지출</t>
    </r>
    <r>
      <rPr>
        <b val="true"/>
        <sz val="10"/>
        <color rgb="FF1F2937"/>
        <rFont val="맑은 고딕"/>
        <family val="0"/>
        <charset val="1"/>
      </rPr>
      <t xml:space="preserve">)</t>
    </r>
  </si>
  <si>
    <r>
      <rPr>
        <b val="true"/>
        <sz val="10"/>
        <color rgb="FF1F2937"/>
        <rFont val="Noto Sans CJK SC"/>
        <family val="2"/>
      </rPr>
      <t xml:space="preserve">구분</t>
    </r>
    <r>
      <rPr>
        <b val="true"/>
        <sz val="10"/>
        <color rgb="FF1F2937"/>
        <rFont val="맑은 고딕"/>
        <family val="0"/>
        <charset val="1"/>
      </rPr>
      <t xml:space="preserve">(1</t>
    </r>
    <r>
      <rPr>
        <b val="true"/>
        <sz val="10"/>
        <color rgb="FF1F2937"/>
        <rFont val="Noto Sans CJK SC"/>
        <family val="2"/>
      </rPr>
      <t xml:space="preserve">차</t>
    </r>
    <r>
      <rPr>
        <b val="true"/>
        <sz val="10"/>
        <color rgb="FF1F2937"/>
        <rFont val="맑은 고딕"/>
        <family val="0"/>
        <charset val="1"/>
      </rPr>
      <t xml:space="preserve">)</t>
    </r>
  </si>
  <si>
    <r>
      <rPr>
        <b val="true"/>
        <sz val="10"/>
        <color rgb="FF1F2937"/>
        <rFont val="Noto Sans CJK SC"/>
        <family val="2"/>
      </rPr>
      <t xml:space="preserve">항목</t>
    </r>
    <r>
      <rPr>
        <b val="true"/>
        <sz val="10"/>
        <color rgb="FF1F2937"/>
        <rFont val="맑은 고딕"/>
        <family val="0"/>
        <charset val="1"/>
      </rPr>
      <t xml:space="preserve">(2</t>
    </r>
    <r>
      <rPr>
        <b val="true"/>
        <sz val="10"/>
        <color rgb="FF1F2937"/>
        <rFont val="Noto Sans CJK SC"/>
        <family val="2"/>
      </rPr>
      <t xml:space="preserve">차</t>
    </r>
    <r>
      <rPr>
        <b val="true"/>
        <sz val="10"/>
        <color rgb="FF1F2937"/>
        <rFont val="맑은 고딕"/>
        <family val="0"/>
        <charset val="1"/>
      </rPr>
      <t xml:space="preserve">)</t>
    </r>
  </si>
  <si>
    <t xml:space="preserve">메모</t>
  </si>
  <si>
    <t xml:space="preserve">수입</t>
  </si>
  <si>
    <t xml:space="preserve">참월급</t>
  </si>
  <si>
    <t xml:space="preserve">정윤월급</t>
  </si>
  <si>
    <t xml:space="preserve">기타수입</t>
  </si>
  <si>
    <t xml:space="preserve">주거비</t>
  </si>
  <si>
    <t xml:space="preserve">용돈</t>
  </si>
  <si>
    <t xml:space="preserve">관리비</t>
  </si>
  <si>
    <t xml:space="preserve">통신</t>
  </si>
  <si>
    <t xml:space="preserve">할부금</t>
  </si>
  <si>
    <t xml:space="preserve">생활비</t>
  </si>
  <si>
    <t xml:space="preserve">초과금</t>
  </si>
  <si>
    <t xml:space="preserve">의료비</t>
  </si>
  <si>
    <t xml:space="preserve">기타</t>
  </si>
  <si>
    <r>
      <rPr>
        <b val="true"/>
        <sz val="16"/>
        <color rgb="FF1F2937"/>
        <rFont val="Noto Sans CJK SC"/>
        <family val="2"/>
      </rPr>
      <t xml:space="preserve">설정 </t>
    </r>
    <r>
      <rPr>
        <b val="true"/>
        <sz val="16"/>
        <color rgb="FF1F2937"/>
        <rFont val="맑은 고딕"/>
        <family val="0"/>
        <charset val="1"/>
      </rPr>
      <t xml:space="preserve">· </t>
    </r>
    <r>
      <rPr>
        <b val="true"/>
        <sz val="16"/>
        <color rgb="FF1F2937"/>
        <rFont val="Noto Sans CJK SC"/>
        <family val="2"/>
      </rPr>
      <t xml:space="preserve">항목 관리</t>
    </r>
  </si>
  <si>
    <r>
      <rPr>
        <sz val="9"/>
        <color rgb="FF6B7280"/>
        <rFont val="Noto Sans CJK SC"/>
        <family val="2"/>
      </rPr>
      <t xml:space="preserve">파란 글씨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노란 칸이 직접 입력하는 칸입니다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항목을 추가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삭제하면 각 시트의 드롭다운 목록에 반영됩니다</t>
    </r>
    <r>
      <rPr>
        <sz val="9"/>
        <color rgb="FF6B7280"/>
        <rFont val="맑은 고딕"/>
        <family val="0"/>
        <charset val="1"/>
      </rPr>
      <t xml:space="preserve">.</t>
    </r>
  </si>
  <si>
    <t xml:space="preserve">기준 연도</t>
  </si>
  <si>
    <t xml:space="preserve">가계부 항목</t>
  </si>
  <si>
    <t xml:space="preserve">자산 분류</t>
  </si>
  <si>
    <t xml:space="preserve">사용 방법</t>
  </si>
  <si>
    <r>
      <rPr>
        <sz val="10"/>
        <color rgb="FF6B7280"/>
        <rFont val="맑은 고딕"/>
        <family val="0"/>
        <charset val="1"/>
      </rPr>
      <t xml:space="preserve">1) </t>
    </r>
    <r>
      <rPr>
        <sz val="10"/>
        <color rgb="FF6B7280"/>
        <rFont val="Noto Sans CJK SC"/>
        <family val="2"/>
      </rPr>
      <t xml:space="preserve">매달 </t>
    </r>
    <r>
      <rPr>
        <sz val="10"/>
        <color rgb="FF6B7280"/>
        <rFont val="맑은 고딕"/>
        <family val="0"/>
        <charset val="1"/>
      </rPr>
      <t xml:space="preserve">'N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금액 칸에 입력하면 합계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저축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그래프가 자동 계산됩니다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</si>
  <si>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2) </t>
    </r>
    <r>
      <rPr>
        <sz val="10"/>
        <color rgb="FF6B7280"/>
        <rFont val="Noto Sans CJK SC"/>
        <family val="2"/>
      </rPr>
      <t xml:space="preserve">가계부 항목 추가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해당 월 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위에 행을 넣고 구분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항목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금액 입력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</si>
  <si>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Noto Sans CJK SC"/>
        <family val="2"/>
      </rPr>
      <t xml:space="preserve">   항목 삭제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그 행을 통째로 삭제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구분은 반드시 수입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고정비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변동비 중 하나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</si>
  <si>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3) </t>
    </r>
    <r>
      <rPr>
        <sz val="10"/>
        <color rgb="FF6B7280"/>
        <rFont val="Noto Sans CJK SC"/>
        <family val="2"/>
      </rPr>
      <t xml:space="preserve">자산 항목 추가</t>
    </r>
    <r>
      <rPr>
        <sz val="10"/>
        <color rgb="FF6B7280"/>
        <rFont val="맑은 고딕"/>
        <family val="0"/>
        <charset val="1"/>
      </rPr>
      <t xml:space="preserve">/</t>
    </r>
    <r>
      <rPr>
        <sz val="10"/>
        <color rgb="FF6B7280"/>
        <rFont val="Noto Sans CJK SC"/>
        <family val="2"/>
      </rPr>
      <t xml:space="preserve">삭제도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시트의 </t>
    </r>
    <r>
      <rPr>
        <sz val="10"/>
        <color rgb="FF6B7280"/>
        <rFont val="맑은 고딕"/>
        <family val="0"/>
        <charset val="1"/>
      </rPr>
      <t xml:space="preserve">'▲ </t>
    </r>
    <r>
      <rPr>
        <sz val="10"/>
        <color rgb="FF6B7280"/>
        <rFont val="Noto Sans CJK SC"/>
        <family val="2"/>
      </rPr>
      <t xml:space="preserve">이 행 위에 삽입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행 기준으로 동일하게 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</si>
  <si>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Noto Sans CJK SC"/>
        <family val="2"/>
      </rPr>
      <t xml:space="preserve">   대분류는 반드시 유동자산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비유동자산</t>
    </r>
    <r>
      <rPr>
        <sz val="10"/>
        <color rgb="FF6B7280"/>
        <rFont val="맑은 고딕"/>
        <family val="0"/>
        <charset val="1"/>
      </rPr>
      <t xml:space="preserve">·</t>
    </r>
    <r>
      <rPr>
        <sz val="10"/>
        <color rgb="FF6B7280"/>
        <rFont val="Noto Sans CJK SC"/>
        <family val="2"/>
      </rPr>
      <t xml:space="preserve">부채 중 하나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</si>
  <si>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4) </t>
    </r>
    <r>
      <rPr>
        <sz val="10"/>
        <color rgb="FF6B7280"/>
        <rFont val="Noto Sans CJK SC"/>
        <family val="2"/>
      </rPr>
      <t xml:space="preserve">부채는 양수로 입력하세요 </t>
    </r>
    <r>
      <rPr>
        <sz val="10"/>
        <color rgb="FF6B7280"/>
        <rFont val="맑은 고딕"/>
        <family val="0"/>
        <charset val="1"/>
      </rPr>
      <t xml:space="preserve">(</t>
    </r>
    <r>
      <rPr>
        <sz val="10"/>
        <color rgb="FF6B7280"/>
        <rFont val="Noto Sans CJK SC"/>
        <family val="2"/>
      </rPr>
      <t xml:space="preserve">예</t>
    </r>
    <r>
      <rPr>
        <sz val="10"/>
        <color rgb="FF6B7280"/>
        <rFont val="맑은 고딕"/>
        <family val="0"/>
        <charset val="1"/>
      </rPr>
      <t xml:space="preserve">: </t>
    </r>
    <r>
      <rPr>
        <sz val="10"/>
        <color rgb="FF6B7280"/>
        <rFont val="Noto Sans CJK SC"/>
        <family val="2"/>
      </rPr>
      <t xml:space="preserve">대출 잔액 </t>
    </r>
    <r>
      <rPr>
        <sz val="10"/>
        <color rgb="FF6B7280"/>
        <rFont val="맑은 고딕"/>
        <family val="0"/>
        <charset val="1"/>
      </rPr>
      <t xml:space="preserve">300,000,000).</t>
    </r>
  </si>
  <si>
    <r>
      <rPr>
        <sz val="10"/>
        <color rgb="FF6B7280"/>
        <rFont val="맑은 고딕"/>
        <family val="0"/>
        <charset val="1"/>
      </rPr>
      <t xml:space="preserve">5) </t>
    </r>
    <r>
      <rPr>
        <sz val="10"/>
        <color rgb="FF6B7280"/>
        <rFont val="Noto Sans CJK SC"/>
        <family val="2"/>
      </rPr>
      <t xml:space="preserve">이 설정 시트의 목록은 드롭다운 후보입니다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새 항목은 여기에도 적어두면 편합니다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</si>
  <si>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6) 1~3</t>
    </r>
    <r>
      <rPr>
        <sz val="10"/>
        <color rgb="FF6B7280"/>
        <rFont val="Noto Sans CJK SC"/>
        <family val="2"/>
      </rPr>
      <t xml:space="preserve">월 값은 예시입니다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실제 금액으로 덮어쓰거나 지우세요</t>
    </r>
    <r>
      <rPr>
        <sz val="10"/>
        <color rgb="FF6B7280"/>
        <rFont val="맑은 고딕"/>
        <family val="0"/>
        <charset val="1"/>
      </rPr>
      <t xml:space="preserve">.</t>
    </r>
  </si>
  <si>
    <r>
      <rPr>
        <sz val="10"/>
        <color rgb="FF6B7280"/>
        <rFont val="맑은 고딕"/>
        <family val="0"/>
        <charset val="1"/>
      </rPr>
      <t xml:space="preserve">7) </t>
    </r>
    <r>
      <rPr>
        <sz val="10"/>
        <color rgb="FF6B7280"/>
        <rFont val="Noto Sans CJK SC"/>
        <family val="2"/>
      </rPr>
      <t xml:space="preserve">앱은 시트 이름</t>
    </r>
    <r>
      <rPr>
        <sz val="10"/>
        <color rgb="FF6B7280"/>
        <rFont val="맑은 고딕"/>
        <family val="0"/>
        <charset val="1"/>
      </rPr>
      <t xml:space="preserve">(1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~12</t>
    </r>
    <r>
      <rPr>
        <sz val="10"/>
        <color rgb="FF6B7280"/>
        <rFont val="Noto Sans CJK SC"/>
        <family val="2"/>
      </rPr>
      <t xml:space="preserve">월</t>
    </r>
    <r>
      <rPr>
        <sz val="10"/>
        <color rgb="FF6B7280"/>
        <rFont val="맑은 고딕"/>
        <family val="0"/>
        <charset val="1"/>
      </rPr>
      <t xml:space="preserve">, </t>
    </r>
    <r>
      <rPr>
        <sz val="10"/>
        <color rgb="FF6B7280"/>
        <rFont val="Noto Sans CJK SC"/>
        <family val="2"/>
      </rPr>
      <t xml:space="preserve">자산관리</t>
    </r>
    <r>
      <rPr>
        <sz val="10"/>
        <color rgb="FF6B7280"/>
        <rFont val="맑은 고딕"/>
        <family val="0"/>
        <charset val="1"/>
      </rPr>
      <t xml:space="preserve">)</t>
    </r>
    <r>
      <rPr>
        <sz val="10"/>
        <color rgb="FF6B7280"/>
        <rFont val="Noto Sans CJK SC"/>
        <family val="2"/>
      </rPr>
      <t xml:space="preserve">과 </t>
    </r>
    <r>
      <rPr>
        <sz val="10"/>
        <color rgb="FF6B7280"/>
        <rFont val="맑은 고딕"/>
        <family val="0"/>
        <charset val="1"/>
      </rPr>
      <t xml:space="preserve">'</t>
    </r>
    <r>
      <rPr>
        <sz val="10"/>
        <color rgb="FF6B7280"/>
        <rFont val="Noto Sans CJK SC"/>
        <family val="2"/>
      </rPr>
      <t xml:space="preserve">구분</t>
    </r>
    <r>
      <rPr>
        <sz val="10"/>
        <color rgb="FF6B7280"/>
        <rFont val="맑은 고딕"/>
        <family val="0"/>
        <charset val="1"/>
      </rPr>
      <t xml:space="preserve">'/'</t>
    </r>
    <r>
      <rPr>
        <sz val="10"/>
        <color rgb="FF6B7280"/>
        <rFont val="Noto Sans CJK SC"/>
        <family val="2"/>
      </rPr>
      <t xml:space="preserve">대분류</t>
    </r>
    <r>
      <rPr>
        <sz val="10"/>
        <color rgb="FF6B7280"/>
        <rFont val="맑은 고딕"/>
        <family val="0"/>
        <charset val="1"/>
      </rPr>
      <t xml:space="preserve">' </t>
    </r>
    <r>
      <rPr>
        <sz val="10"/>
        <color rgb="FF6B7280"/>
        <rFont val="Noto Sans CJK SC"/>
        <family val="2"/>
      </rPr>
      <t xml:space="preserve">머리글을 기준으로 읽습니다</t>
    </r>
    <r>
      <rPr>
        <sz val="10"/>
        <color rgb="FF6B7280"/>
        <rFont val="맑은 고딕"/>
        <family val="0"/>
        <charset val="1"/>
      </rPr>
      <t xml:space="preserve">. </t>
    </r>
    <r>
      <rPr>
        <sz val="10"/>
        <color rgb="FF6B7280"/>
        <rFont val="Noto Sans CJK SC"/>
        <family val="2"/>
      </rPr>
      <t xml:space="preserve">이름은 바꾸지 마세요</t>
    </r>
    <r>
      <rPr>
        <sz val="10"/>
        <color rgb="FF6B72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</si>
</sst>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;\-0.0%;\-"/>
    <numFmt numFmtId="167" formatCode="#,##0"/>
    <numFmt numFmtId="168" formatCode="0%"/>
    <numFmt numFmtId="169" formatCode="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맑은 고딕"/>
      <family val="0"/>
      <charset val="1"/>
    </font>
    <font>
      <sz val="9"/>
      <color rgb="FF6B7280"/>
      <name val="Noto Sans CJK SC"/>
      <family val="2"/>
    </font>
    <font>
      <sz val="9"/>
      <color rgb="FF6B7280"/>
      <name val="맑은 고딕"/>
      <family val="0"/>
      <charset val="1"/>
    </font>
    <font>
      <b val="true"/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sz val="10"/>
      <color rgb="FF1F2937"/>
      <name val="Noto Sans CJK SC"/>
      <family val="2"/>
    </font>
    <font>
      <sz val="10"/>
      <color rgb="FF008000"/>
      <name val="맑은 고딕"/>
      <family val="0"/>
      <charset val="1"/>
    </font>
    <font>
      <b val="true"/>
      <sz val="10"/>
      <color rgb="FF1F2937"/>
      <name val="맑은 고딕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sz val="10"/>
      <color rgb="FF0000FF"/>
      <name val="Noto Sans CJK SC"/>
      <family val="2"/>
    </font>
    <font>
      <sz val="10"/>
      <color rgb="FF0000FF"/>
      <name val="맑은 고딕"/>
      <family val="0"/>
      <charset val="1"/>
    </font>
    <font>
      <b val="true"/>
      <sz val="10"/>
      <color rgb="FF2563EB"/>
      <name val="맑은 고딕"/>
      <family val="0"/>
      <charset val="1"/>
    </font>
    <font>
      <sz val="10"/>
      <color rgb="FF2563EB"/>
      <name val="맑은 고딕"/>
      <family val="0"/>
      <charset val="1"/>
    </font>
    <font>
      <b val="true"/>
      <sz val="9"/>
      <color rgb="FF6B7280"/>
      <name val="Noto Sans CJK SC"/>
      <family val="2"/>
    </font>
    <font>
      <b val="true"/>
      <sz val="16"/>
      <color rgb="FF1F2937"/>
      <name val="Noto Sans CJK SC"/>
      <family val="2"/>
    </font>
    <font>
      <b val="true"/>
      <sz val="12"/>
      <color rgb="FF1F2937"/>
      <name val="Noto Sans CJK SC"/>
      <family val="2"/>
    </font>
    <font>
      <sz val="10"/>
      <color rgb="FF6B7280"/>
      <name val="맑은 고딕"/>
      <family val="0"/>
      <charset val="1"/>
    </font>
    <font>
      <sz val="10"/>
      <color rgb="FF6B7280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F3F4F6"/>
        <bgColor rgb="FFFFFBEB"/>
      </patternFill>
    </fill>
    <fill>
      <patternFill patternType="solid">
        <fgColor rgb="FFFFFBEB"/>
        <bgColor rgb="FFF3F4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BE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3F4F6"/>
      <rgbColor rgb="FFE5E7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4BACC6"/>
      <rgbColor rgb="FF9BBB59"/>
      <rgbColor rgb="FFFFCC00"/>
      <rgbColor rgb="FFFF9900"/>
      <rgbColor rgb="FFFF6600"/>
      <rgbColor rgb="FF6B7280"/>
      <rgbColor rgb="FF8064A2"/>
      <rgbColor rgb="FF003366"/>
      <rgbColor rgb="FF4F81BD"/>
      <rgbColor rgb="FF003300"/>
      <rgbColor rgb="FF333300"/>
      <rgbColor rgb="FF993300"/>
      <rgbColor rgb="FF7D5FA0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수입 · 지출 · 저축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월별추이!B4</c:f>
              <c:strCache>
                <c:ptCount val="1"/>
                <c:pt idx="0">
                  <c:v>총 수입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월별추이!$B$5:$B$16</c:f>
              <c:numCache>
                <c:formatCode>#,##0;\-#,##0;\-</c:formatCode>
                <c:ptCount val="12"/>
                <c:pt idx="0">
                  <c:v>7600000</c:v>
                </c:pt>
                <c:pt idx="1">
                  <c:v>7500000</c:v>
                </c:pt>
                <c:pt idx="2">
                  <c:v>9000000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월별추이!C4</c:f>
              <c:strCache>
                <c:ptCount val="1"/>
                <c:pt idx="0">
                  <c:v>총 지출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월별추이!$C$5:$C$16</c:f>
              <c:numCache>
                <c:formatCode>#,##0;\-#,##0;\-</c:formatCode>
                <c:ptCount val="12"/>
                <c:pt idx="0">
                  <c:v>4370000</c:v>
                </c:pt>
                <c:pt idx="1">
                  <c:v>4360000</c:v>
                </c:pt>
                <c:pt idx="2">
                  <c:v>4400000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월별추이!F4</c:f>
              <c:strCache>
                <c:ptCount val="1"/>
                <c:pt idx="0">
                  <c:v>저축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월별추이!$F$5:$F$16</c:f>
              <c:numCache>
                <c:formatCode>#,##0;\-#,##0;\-</c:formatCode>
                <c:ptCount val="12"/>
                <c:pt idx="0">
                  <c:v>3230000</c:v>
                </c:pt>
                <c:pt idx="1">
                  <c:v>3140000</c:v>
                </c:pt>
                <c:pt idx="2">
                  <c:v>4600000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7558702"/>
        <c:axId val="989715"/>
      </c:barChart>
      <c:lineChart>
        <c:grouping val="standard"/>
        <c:varyColors val="0"/>
        <c:ser>
          <c:idx val="3"/>
          <c:order val="3"/>
          <c:tx>
            <c:strRef>
              <c:f>월별추이!G4</c:f>
              <c:strCache>
                <c:ptCount val="1"/>
                <c:pt idx="0">
                  <c:v>저축률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월별추이!$A$5:$A$16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월별추이!$G$5:$G$16</c:f>
              <c:numCache>
                <c:formatCode>0.0%;\-0.0%;\-</c:formatCode>
                <c:ptCount val="12"/>
                <c:pt idx="0">
                  <c:v>0.425</c:v>
                </c:pt>
                <c:pt idx="1">
                  <c:v>0.418666666666667</c:v>
                </c:pt>
                <c:pt idx="2">
                  <c:v>0.511111111111111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690685"/>
        <c:axId val="44192417"/>
      </c:lineChart>
      <c:catAx>
        <c:axId val="775587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715"/>
        <c:crosses val="autoZero"/>
        <c:auto val="1"/>
        <c:lblAlgn val="ctr"/>
        <c:lblOffset val="100"/>
        <c:noMultiLvlLbl val="0"/>
      </c:catAx>
      <c:valAx>
        <c:axId val="989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58702"/>
        <c:crosses val="autoZero"/>
        <c:crossBetween val="between"/>
      </c:valAx>
      <c:catAx>
        <c:axId val="96690685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92417"/>
        <c:crosses val="autoZero"/>
        <c:auto val="1"/>
        <c:lblAlgn val="ctr"/>
        <c:lblOffset val="100"/>
        <c:noMultiLvlLbl val="0"/>
      </c:catAx>
      <c:valAx>
        <c:axId val="44192417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저축률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90685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총자산 · 순자산 · 부채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"총자산"</c:f>
              <c:strCache>
                <c:ptCount val="1"/>
                <c:pt idx="0">
                  <c:v>총자산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자산관리!$D$24:$O$24</c:f>
              <c:numCache>
                <c:formatCode>#,##0;\-#,##0;\-</c:formatCode>
                <c:ptCount val="12"/>
                <c:pt idx="0">
                  <c:v>875500000</c:v>
                </c:pt>
                <c:pt idx="1">
                  <c:v>880925000</c:v>
                </c:pt>
                <c:pt idx="2">
                  <c:v>887850000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"순자산"</c:f>
              <c:strCache>
                <c:ptCount val="1"/>
                <c:pt idx="0">
                  <c:v>순자산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자산관리!$D$26:$O$26</c:f>
              <c:numCache>
                <c:formatCode>#,##0;\-#,##0;\-</c:formatCode>
                <c:ptCount val="12"/>
                <c:pt idx="0">
                  <c:v>555500000</c:v>
                </c:pt>
                <c:pt idx="1">
                  <c:v>562075000</c:v>
                </c:pt>
                <c:pt idx="2">
                  <c:v>570150000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"부채"</c:f>
              <c:strCache>
                <c:ptCount val="1"/>
                <c:pt idx="0">
                  <c:v>부채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자산관리!$D$25:$O$25</c:f>
              <c:numCache>
                <c:formatCode>#,##0;\-#,##0;\-</c:formatCode>
                <c:ptCount val="12"/>
                <c:pt idx="0">
                  <c:v>320000000</c:v>
                </c:pt>
                <c:pt idx="1">
                  <c:v>318850000</c:v>
                </c:pt>
                <c:pt idx="2">
                  <c:v>317700000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8247816"/>
        <c:axId val="19537753"/>
      </c:barChart>
      <c:catAx>
        <c:axId val="28247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37753"/>
        <c:crosses val="autoZero"/>
        <c:auto val="1"/>
        <c:lblAlgn val="ctr"/>
        <c:lblOffset val="100"/>
        <c:noMultiLvlLbl val="0"/>
      </c:catAx>
      <c:valAx>
        <c:axId val="19537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478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자산 구성 변화 (중분류)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"저축"</c:f>
              <c:strCache>
                <c:ptCount val="1"/>
                <c:pt idx="0">
                  <c:v>저축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자산관리!$D$37:$O$37</c:f>
              <c:numCache>
                <c:formatCode>#,##0;\-#,##0;\-</c:formatCode>
                <c:ptCount val="12"/>
                <c:pt idx="0">
                  <c:v>20500000</c:v>
                </c:pt>
                <c:pt idx="1">
                  <c:v>22800000</c:v>
                </c:pt>
                <c:pt idx="2">
                  <c:v>25400000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"투자"</c:f>
              <c:strCache>
                <c:ptCount val="1"/>
                <c:pt idx="0">
                  <c:v>투자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자산관리!$D$38:$O$38</c:f>
              <c:numCache>
                <c:formatCode>#,##0;\-#,##0;\-</c:formatCode>
                <c:ptCount val="12"/>
                <c:pt idx="0">
                  <c:v>120000000</c:v>
                </c:pt>
                <c:pt idx="1">
                  <c:v>122300000</c:v>
                </c:pt>
                <c:pt idx="2">
                  <c:v>120800000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"부동산"</c:f>
              <c:strCache>
                <c:ptCount val="1"/>
                <c:pt idx="0">
                  <c:v>부동산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자산관리!$D$39:$O$39</c:f>
              <c:numCache>
                <c:formatCode>#,##0;\-#,##0;\-</c:formatCode>
                <c:ptCount val="12"/>
                <c:pt idx="0">
                  <c:v>650000000</c:v>
                </c:pt>
                <c:pt idx="1">
                  <c:v>650000000</c:v>
                </c:pt>
                <c:pt idx="2">
                  <c:v>655000000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"퇴직금"</c:f>
              <c:strCache>
                <c:ptCount val="1"/>
                <c:pt idx="0">
                  <c:v>퇴직금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자산관리!$D$40:$O$40</c:f>
              <c:numCache>
                <c:formatCode>#,##0;\-#,##0;\-</c:formatCode>
                <c:ptCount val="12"/>
                <c:pt idx="0">
                  <c:v>65000000</c:v>
                </c:pt>
                <c:pt idx="1">
                  <c:v>65625000</c:v>
                </c:pt>
                <c:pt idx="2">
                  <c:v>66250000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"청약"</c:f>
              <c:strCache>
                <c:ptCount val="1"/>
                <c:pt idx="0">
                  <c:v>청약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자산관리!$D$4:$O$4</c:f>
              <c:multiLvlStrCache>
                <c:ptCount val="1"/>
                <c:lvl>
                  <c:pt idx="0">
                    <c:v>12월</c:v>
                  </c:pt>
                </c:lvl>
                <c:lvl>
                  <c:pt idx="0">
                    <c:v>11월</c:v>
                  </c:pt>
                </c:lvl>
                <c:lvl>
                  <c:pt idx="0">
                    <c:v>10월</c:v>
                  </c:pt>
                </c:lvl>
                <c:lvl>
                  <c:pt idx="0">
                    <c:v>9월</c:v>
                  </c:pt>
                </c:lvl>
                <c:lvl>
                  <c:pt idx="0">
                    <c:v>8월</c:v>
                  </c:pt>
                </c:lvl>
                <c:lvl>
                  <c:pt idx="0">
                    <c:v>7월</c:v>
                  </c:pt>
                </c:lvl>
                <c:lvl>
                  <c:pt idx="0">
                    <c:v>6월</c:v>
                  </c:pt>
                </c:lvl>
                <c:lvl>
                  <c:pt idx="0">
                    <c:v>5월</c:v>
                  </c:pt>
                </c:lvl>
                <c:lvl>
                  <c:pt idx="0">
                    <c:v>4월</c:v>
                  </c:pt>
                </c:lvl>
                <c:lvl>
                  <c:pt idx="0">
                    <c:v>3월</c:v>
                  </c:pt>
                </c:lvl>
                <c:lvl>
                  <c:pt idx="0">
                    <c:v>2월</c:v>
                  </c:pt>
                </c:lvl>
                <c:lvl>
                  <c:pt idx="0">
                    <c:v>1월</c:v>
                  </c:pt>
                </c:lvl>
              </c:multiLvlStrCache>
            </c:multiLvlStrRef>
          </c:cat>
          <c:val>
            <c:numRef>
              <c:f>자산관리!$D$41:$O$41</c:f>
              <c:numCache>
                <c:formatCode>#,##0;\-#,##0;\-</c:formatCode>
                <c:ptCount val="12"/>
                <c:pt idx="0">
                  <c:v>20000000</c:v>
                </c:pt>
                <c:pt idx="1">
                  <c:v>20200000</c:v>
                </c:pt>
                <c:pt idx="2">
                  <c:v>20400000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37945202"/>
        <c:axId val="32539308"/>
      </c:barChart>
      <c:catAx>
        <c:axId val="379452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39308"/>
        <c:crosses val="autoZero"/>
        <c:auto val="1"/>
        <c:lblAlgn val="ctr"/>
        <c:lblOffset val="100"/>
        <c:noMultiLvlLbl val="0"/>
      </c:catAx>
      <c:valAx>
        <c:axId val="32539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452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1월!$E$5:$E$7</c:f>
              <c:numCache>
                <c:formatCode>#,##0;\-#,##0;\-</c:formatCode>
                <c:ptCount val="3"/>
                <c:pt idx="0">
                  <c:v>2170000</c:v>
                </c:pt>
                <c:pt idx="1">
                  <c:v>2200000</c:v>
                </c:pt>
                <c:pt idx="2">
                  <c:v>3230000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2월!$E$5:$E$7</c:f>
              <c:numCache>
                <c:formatCode>#,##0;\-#,##0;\-</c:formatCode>
                <c:ptCount val="3"/>
                <c:pt idx="0">
                  <c:v>2200000</c:v>
                </c:pt>
                <c:pt idx="1">
                  <c:v>2160000</c:v>
                </c:pt>
                <c:pt idx="2">
                  <c:v>3140000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3월!$D$5:$D$7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3월!$E$5:$E$7</c:f>
              <c:numCache>
                <c:formatCode>#,##0;\-#,##0;\-</c:formatCode>
                <c:ptCount val="3"/>
                <c:pt idx="0">
                  <c:v>2150000</c:v>
                </c:pt>
                <c:pt idx="1">
                  <c:v>2250000</c:v>
                </c:pt>
                <c:pt idx="2">
                  <c:v>4600000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4월!$D$5:$D$7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4월!$E$5:$E$7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5월!$D$5:$D$7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5월!$E$5:$E$7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6월!$D$5:$D$7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6월!$E$5:$E$7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7월!$D$5:$D$7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7월!$E$5:$E$7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8월!$D$5:$D$7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8월!$E$5:$E$7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9월!$D$5:$D$7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9월!$E$5:$E$7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10월!$D$5:$D$7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10월!$E$5:$E$7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11월!$D$5:$D$7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11월!$E$5:$E$7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12월 수입 배분 (지출·저축)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12월!$D$5:$D$7</c:f>
              <c:strCache>
                <c:ptCount val="3"/>
                <c:pt idx="0">
                  <c:v>고정비</c:v>
                </c:pt>
                <c:pt idx="1">
                  <c:v>변동비</c:v>
                </c:pt>
                <c:pt idx="2">
                  <c:v>저축</c:v>
                </c:pt>
              </c:strCache>
            </c:strRef>
          </c:cat>
          <c:val>
            <c:numRef>
              <c:f>12월!$E$5:$E$7</c:f>
              <c:numCache>
                <c:formatCode>#,##0;\-#,##0;\-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78120</xdr:rowOff>
    </xdr:from>
    <xdr:to>
      <xdr:col>21</xdr:col>
      <xdr:colOff>581400</xdr:colOff>
      <xdr:row>19</xdr:row>
      <xdr:rowOff>79560</xdr:rowOff>
    </xdr:to>
    <xdr:graphicFrame>
      <xdr:nvGraphicFramePr>
        <xdr:cNvPr id="0" name="Chart 1"/>
        <xdr:cNvGraphicFramePr/>
      </xdr:nvGraphicFramePr>
      <xdr:xfrm>
        <a:off x="8576280" y="57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2</xdr:row>
      <xdr:rowOff>78120</xdr:rowOff>
    </xdr:from>
    <xdr:to>
      <xdr:col>27</xdr:col>
      <xdr:colOff>473040</xdr:colOff>
      <xdr:row>19</xdr:row>
      <xdr:rowOff>79560</xdr:rowOff>
    </xdr:to>
    <xdr:graphicFrame>
      <xdr:nvGraphicFramePr>
        <xdr:cNvPr id="1" name="Chart 1"/>
        <xdr:cNvGraphicFramePr/>
      </xdr:nvGraphicFramePr>
      <xdr:xfrm>
        <a:off x="1597716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22</xdr:row>
      <xdr:rowOff>78120</xdr:rowOff>
    </xdr:from>
    <xdr:to>
      <xdr:col>27</xdr:col>
      <xdr:colOff>473040</xdr:colOff>
      <xdr:row>39</xdr:row>
      <xdr:rowOff>79200</xdr:rowOff>
    </xdr:to>
    <xdr:graphicFrame>
      <xdr:nvGraphicFramePr>
        <xdr:cNvPr id="2" name="Chart 2"/>
        <xdr:cNvGraphicFramePr/>
      </xdr:nvGraphicFramePr>
      <xdr:xfrm>
        <a:off x="1597716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3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4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5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6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7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8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9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10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11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12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13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78120</xdr:rowOff>
    </xdr:from>
    <xdr:to>
      <xdr:col>12</xdr:col>
      <xdr:colOff>290520</xdr:colOff>
      <xdr:row>17</xdr:row>
      <xdr:rowOff>100440</xdr:rowOff>
    </xdr:to>
    <xdr:graphicFrame>
      <xdr:nvGraphicFramePr>
        <xdr:cNvPr id="14" name="Chart 1"/>
        <xdr:cNvGraphicFramePr/>
      </xdr:nvGraphicFramePr>
      <xdr:xfrm>
        <a:off x="6273000" y="571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5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6"/>
  </cols>
  <sheetData>
    <row r="1" customFormat="false" ht="23.85" hidden="false" customHeight="false" outlineLevel="0" collapsed="false">
      <c r="A1" s="1" t="str">
        <f aca="false">설정!$B$4&amp;"년 월별 수입·지출·저축 추이"</f>
        <v>2026년 월별 수입·지출·저축 추이</v>
      </c>
    </row>
    <row r="2" customFormat="false" ht="15" hidden="false" customHeight="false" outlineLevel="0" collapsed="false">
      <c r="A2" s="2" t="s">
        <v>0</v>
      </c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 customFormat="false" ht="15" hidden="false" customHeight="false" outlineLevel="0" collapsed="false">
      <c r="A5" s="4" t="s">
        <v>9</v>
      </c>
      <c r="B5" s="5" t="n">
        <f aca="false">1월!$B$5</f>
        <v>7600000</v>
      </c>
      <c r="C5" s="5" t="n">
        <f aca="false">1월!$B$6</f>
        <v>4370000</v>
      </c>
      <c r="D5" s="5" t="n">
        <f aca="false">1월!$B$7</f>
        <v>2170000</v>
      </c>
      <c r="E5" s="5" t="n">
        <f aca="false">1월!$B$8</f>
        <v>2200000</v>
      </c>
      <c r="F5" s="5" t="n">
        <f aca="false">1월!$B$9</f>
        <v>3230000</v>
      </c>
      <c r="G5" s="6" t="n">
        <f aca="false">IF(B5=0,0,F5/B5)</f>
        <v>0.425</v>
      </c>
      <c r="H5" s="7" t="n">
        <f aca="false">SUM($F$5:F5)</f>
        <v>3230000</v>
      </c>
    </row>
    <row r="6" customFormat="false" ht="15" hidden="false" customHeight="false" outlineLevel="0" collapsed="false">
      <c r="A6" s="4" t="s">
        <v>10</v>
      </c>
      <c r="B6" s="5" t="n">
        <f aca="false">2월!$B$5</f>
        <v>7500000</v>
      </c>
      <c r="C6" s="5" t="n">
        <f aca="false">2월!$B$6</f>
        <v>4360000</v>
      </c>
      <c r="D6" s="5" t="n">
        <f aca="false">2월!$B$7</f>
        <v>2200000</v>
      </c>
      <c r="E6" s="5" t="n">
        <f aca="false">2월!$B$8</f>
        <v>2160000</v>
      </c>
      <c r="F6" s="5" t="n">
        <f aca="false">2월!$B$9</f>
        <v>3140000</v>
      </c>
      <c r="G6" s="6" t="n">
        <f aca="false">IF(B6=0,0,F6/B6)</f>
        <v>0.418666666666667</v>
      </c>
      <c r="H6" s="7" t="n">
        <f aca="false">SUM($F$5:F6)</f>
        <v>6370000</v>
      </c>
    </row>
    <row r="7" customFormat="false" ht="15" hidden="false" customHeight="false" outlineLevel="0" collapsed="false">
      <c r="A7" s="4" t="s">
        <v>11</v>
      </c>
      <c r="B7" s="5" t="n">
        <f aca="false">3월!$B$5</f>
        <v>9000000</v>
      </c>
      <c r="C7" s="5" t="n">
        <f aca="false">3월!$B$6</f>
        <v>4400000</v>
      </c>
      <c r="D7" s="5" t="n">
        <f aca="false">3월!$B$7</f>
        <v>2150000</v>
      </c>
      <c r="E7" s="5" t="n">
        <f aca="false">3월!$B$8</f>
        <v>2250000</v>
      </c>
      <c r="F7" s="5" t="n">
        <f aca="false">3월!$B$9</f>
        <v>4600000</v>
      </c>
      <c r="G7" s="6" t="n">
        <f aca="false">IF(B7=0,0,F7/B7)</f>
        <v>0.511111111111111</v>
      </c>
      <c r="H7" s="7" t="n">
        <f aca="false">SUM($F$5:F7)</f>
        <v>10970000</v>
      </c>
    </row>
    <row r="8" customFormat="false" ht="15" hidden="false" customHeight="false" outlineLevel="0" collapsed="false">
      <c r="A8" s="4" t="s">
        <v>12</v>
      </c>
      <c r="B8" s="5" t="n">
        <f aca="false">4월!$B$5</f>
        <v>0</v>
      </c>
      <c r="C8" s="5" t="n">
        <f aca="false">4월!$B$6</f>
        <v>0</v>
      </c>
      <c r="D8" s="5" t="n">
        <f aca="false">4월!$B$7</f>
        <v>0</v>
      </c>
      <c r="E8" s="5" t="n">
        <f aca="false">4월!$B$8</f>
        <v>0</v>
      </c>
      <c r="F8" s="5" t="n">
        <f aca="false">4월!$B$9</f>
        <v>0</v>
      </c>
      <c r="G8" s="6" t="n">
        <f aca="false">IF(B8=0,0,F8/B8)</f>
        <v>0</v>
      </c>
      <c r="H8" s="7" t="n">
        <f aca="false">SUM($F$5:F8)</f>
        <v>10970000</v>
      </c>
    </row>
    <row r="9" customFormat="false" ht="15" hidden="false" customHeight="false" outlineLevel="0" collapsed="false">
      <c r="A9" s="4" t="s">
        <v>13</v>
      </c>
      <c r="B9" s="5" t="n">
        <f aca="false">5월!$B$5</f>
        <v>0</v>
      </c>
      <c r="C9" s="5" t="n">
        <f aca="false">5월!$B$6</f>
        <v>0</v>
      </c>
      <c r="D9" s="5" t="n">
        <f aca="false">5월!$B$7</f>
        <v>0</v>
      </c>
      <c r="E9" s="5" t="n">
        <f aca="false">5월!$B$8</f>
        <v>0</v>
      </c>
      <c r="F9" s="5" t="n">
        <f aca="false">5월!$B$9</f>
        <v>0</v>
      </c>
      <c r="G9" s="6" t="n">
        <f aca="false">IF(B9=0,0,F9/B9)</f>
        <v>0</v>
      </c>
      <c r="H9" s="7" t="n">
        <f aca="false">SUM($F$5:F9)</f>
        <v>10970000</v>
      </c>
    </row>
    <row r="10" customFormat="false" ht="15" hidden="false" customHeight="false" outlineLevel="0" collapsed="false">
      <c r="A10" s="4" t="s">
        <v>14</v>
      </c>
      <c r="B10" s="5" t="n">
        <f aca="false">6월!$B$5</f>
        <v>0</v>
      </c>
      <c r="C10" s="5" t="n">
        <f aca="false">6월!$B$6</f>
        <v>0</v>
      </c>
      <c r="D10" s="5" t="n">
        <f aca="false">6월!$B$7</f>
        <v>0</v>
      </c>
      <c r="E10" s="5" t="n">
        <f aca="false">6월!$B$8</f>
        <v>0</v>
      </c>
      <c r="F10" s="5" t="n">
        <f aca="false">6월!$B$9</f>
        <v>0</v>
      </c>
      <c r="G10" s="6" t="n">
        <f aca="false">IF(B10=0,0,F10/B10)</f>
        <v>0</v>
      </c>
      <c r="H10" s="7" t="n">
        <f aca="false">SUM($F$5:F10)</f>
        <v>10970000</v>
      </c>
    </row>
    <row r="11" customFormat="false" ht="15" hidden="false" customHeight="false" outlineLevel="0" collapsed="false">
      <c r="A11" s="4" t="s">
        <v>15</v>
      </c>
      <c r="B11" s="5" t="n">
        <f aca="false">7월!$B$5</f>
        <v>0</v>
      </c>
      <c r="C11" s="5" t="n">
        <f aca="false">7월!$B$6</f>
        <v>0</v>
      </c>
      <c r="D11" s="5" t="n">
        <f aca="false">7월!$B$7</f>
        <v>0</v>
      </c>
      <c r="E11" s="5" t="n">
        <f aca="false">7월!$B$8</f>
        <v>0</v>
      </c>
      <c r="F11" s="5" t="n">
        <f aca="false">7월!$B$9</f>
        <v>0</v>
      </c>
      <c r="G11" s="6" t="n">
        <f aca="false">IF(B11=0,0,F11/B11)</f>
        <v>0</v>
      </c>
      <c r="H11" s="7" t="n">
        <f aca="false">SUM($F$5:F11)</f>
        <v>10970000</v>
      </c>
    </row>
    <row r="12" customFormat="false" ht="15" hidden="false" customHeight="false" outlineLevel="0" collapsed="false">
      <c r="A12" s="4" t="s">
        <v>16</v>
      </c>
      <c r="B12" s="5" t="n">
        <f aca="false">8월!$B$5</f>
        <v>0</v>
      </c>
      <c r="C12" s="5" t="n">
        <f aca="false">8월!$B$6</f>
        <v>0</v>
      </c>
      <c r="D12" s="5" t="n">
        <f aca="false">8월!$B$7</f>
        <v>0</v>
      </c>
      <c r="E12" s="5" t="n">
        <f aca="false">8월!$B$8</f>
        <v>0</v>
      </c>
      <c r="F12" s="5" t="n">
        <f aca="false">8월!$B$9</f>
        <v>0</v>
      </c>
      <c r="G12" s="6" t="n">
        <f aca="false">IF(B12=0,0,F12/B12)</f>
        <v>0</v>
      </c>
      <c r="H12" s="7" t="n">
        <f aca="false">SUM($F$5:F12)</f>
        <v>10970000</v>
      </c>
    </row>
    <row r="13" customFormat="false" ht="15" hidden="false" customHeight="false" outlineLevel="0" collapsed="false">
      <c r="A13" s="4" t="s">
        <v>17</v>
      </c>
      <c r="B13" s="5" t="n">
        <f aca="false">9월!$B$5</f>
        <v>0</v>
      </c>
      <c r="C13" s="5" t="n">
        <f aca="false">9월!$B$6</f>
        <v>0</v>
      </c>
      <c r="D13" s="5" t="n">
        <f aca="false">9월!$B$7</f>
        <v>0</v>
      </c>
      <c r="E13" s="5" t="n">
        <f aca="false">9월!$B$8</f>
        <v>0</v>
      </c>
      <c r="F13" s="5" t="n">
        <f aca="false">9월!$B$9</f>
        <v>0</v>
      </c>
      <c r="G13" s="6" t="n">
        <f aca="false">IF(B13=0,0,F13/B13)</f>
        <v>0</v>
      </c>
      <c r="H13" s="7" t="n">
        <f aca="false">SUM($F$5:F13)</f>
        <v>10970000</v>
      </c>
    </row>
    <row r="14" customFormat="false" ht="15" hidden="false" customHeight="false" outlineLevel="0" collapsed="false">
      <c r="A14" s="4" t="s">
        <v>18</v>
      </c>
      <c r="B14" s="5" t="n">
        <f aca="false">10월!$B$5</f>
        <v>0</v>
      </c>
      <c r="C14" s="5" t="n">
        <f aca="false">10월!$B$6</f>
        <v>0</v>
      </c>
      <c r="D14" s="5" t="n">
        <f aca="false">10월!$B$7</f>
        <v>0</v>
      </c>
      <c r="E14" s="5" t="n">
        <f aca="false">10월!$B$8</f>
        <v>0</v>
      </c>
      <c r="F14" s="5" t="n">
        <f aca="false">10월!$B$9</f>
        <v>0</v>
      </c>
      <c r="G14" s="6" t="n">
        <f aca="false">IF(B14=0,0,F14/B14)</f>
        <v>0</v>
      </c>
      <c r="H14" s="7" t="n">
        <f aca="false">SUM($F$5:F14)</f>
        <v>10970000</v>
      </c>
    </row>
    <row r="15" customFormat="false" ht="15" hidden="false" customHeight="false" outlineLevel="0" collapsed="false">
      <c r="A15" s="4" t="s">
        <v>19</v>
      </c>
      <c r="B15" s="5" t="n">
        <f aca="false">11월!$B$5</f>
        <v>0</v>
      </c>
      <c r="C15" s="5" t="n">
        <f aca="false">11월!$B$6</f>
        <v>0</v>
      </c>
      <c r="D15" s="5" t="n">
        <f aca="false">11월!$B$7</f>
        <v>0</v>
      </c>
      <c r="E15" s="5" t="n">
        <f aca="false">11월!$B$8</f>
        <v>0</v>
      </c>
      <c r="F15" s="5" t="n">
        <f aca="false">11월!$B$9</f>
        <v>0</v>
      </c>
      <c r="G15" s="6" t="n">
        <f aca="false">IF(B15=0,0,F15/B15)</f>
        <v>0</v>
      </c>
      <c r="H15" s="7" t="n">
        <f aca="false">SUM($F$5:F15)</f>
        <v>10970000</v>
      </c>
    </row>
    <row r="16" customFormat="false" ht="15" hidden="false" customHeight="false" outlineLevel="0" collapsed="false">
      <c r="A16" s="4" t="s">
        <v>20</v>
      </c>
      <c r="B16" s="5" t="n">
        <f aca="false">12월!$B$5</f>
        <v>0</v>
      </c>
      <c r="C16" s="5" t="n">
        <f aca="false">12월!$B$6</f>
        <v>0</v>
      </c>
      <c r="D16" s="5" t="n">
        <f aca="false">12월!$B$7</f>
        <v>0</v>
      </c>
      <c r="E16" s="5" t="n">
        <f aca="false">12월!$B$8</f>
        <v>0</v>
      </c>
      <c r="F16" s="5" t="n">
        <f aca="false">12월!$B$9</f>
        <v>0</v>
      </c>
      <c r="G16" s="6" t="n">
        <f aca="false">IF(B16=0,0,F16/B16)</f>
        <v>0</v>
      </c>
      <c r="H16" s="7" t="n">
        <f aca="false">SUM($F$5:F16)</f>
        <v>10970000</v>
      </c>
    </row>
    <row r="17" customFormat="false" ht="15" hidden="false" customHeight="false" outlineLevel="0" collapsed="false">
      <c r="A17" s="8" t="s">
        <v>21</v>
      </c>
      <c r="B17" s="9" t="n">
        <f aca="false">SUM(B5:B16)</f>
        <v>24100000</v>
      </c>
      <c r="C17" s="9" t="n">
        <f aca="false">SUM(C5:C16)</f>
        <v>13130000</v>
      </c>
      <c r="D17" s="9" t="n">
        <f aca="false">SUM(D5:D16)</f>
        <v>6520000</v>
      </c>
      <c r="E17" s="9" t="n">
        <f aca="false">SUM(E5:E16)</f>
        <v>6610000</v>
      </c>
      <c r="F17" s="9" t="n">
        <f aca="false">SUM(F5:F16)</f>
        <v>10970000</v>
      </c>
      <c r="G17" s="10" t="n">
        <f aca="false">IF(B17=0,0,F17/B17)</f>
        <v>0.455186721991701</v>
      </c>
      <c r="H17" s="9" t="n">
        <f aca="false">F17</f>
        <v>10970000</v>
      </c>
    </row>
    <row r="18" customFormat="false" ht="15" hidden="false" customHeight="false" outlineLevel="0" collapsed="false">
      <c r="A18" s="8" t="s">
        <v>22</v>
      </c>
      <c r="B18" s="7" t="n">
        <f aca="false">IFERROR(AVERAGEIF($B$5:$B$16,"&gt;0",B5:B16),0)</f>
        <v>8033333.33333333</v>
      </c>
      <c r="C18" s="7" t="n">
        <f aca="false">IFERROR(AVERAGEIF($B$5:$B$16,"&gt;0",C5:C16),0)</f>
        <v>4376666.66666667</v>
      </c>
      <c r="D18" s="7" t="n">
        <f aca="false">IFERROR(AVERAGEIF($B$5:$B$16,"&gt;0",D5:D16),0)</f>
        <v>2173333.33333333</v>
      </c>
      <c r="E18" s="7" t="n">
        <f aca="false">IFERROR(AVERAGEIF($B$5:$B$16,"&gt;0",E5:E16),0)</f>
        <v>2203333.33333333</v>
      </c>
      <c r="F18" s="7" t="n">
        <f aca="false">IFERROR(AVERAGEIF($B$5:$B$16,"&gt;0",F5:F16),0)</f>
        <v>3656666.66666667</v>
      </c>
      <c r="G18" s="6" t="n">
        <f aca="false">IF(B18=0,0,F18/B18)</f>
        <v>0.455186721991701</v>
      </c>
      <c r="H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15" min="4" style="0" width="15"/>
  </cols>
  <sheetData>
    <row r="1" customFormat="false" ht="23.85" hidden="false" customHeight="false" outlineLevel="0" collapsed="false">
      <c r="A1" s="1" t="str">
        <f aca="false">설정!$B$4&amp;"년 자산관리"</f>
        <v>2026년 자산관리</v>
      </c>
    </row>
    <row r="2" customFormat="false" ht="15" hidden="false" customHeight="false" outlineLevel="0" collapsed="false">
      <c r="A2" s="2" t="s">
        <v>23</v>
      </c>
    </row>
    <row r="4" customFormat="false" ht="15" hidden="false" customHeight="false" outlineLevel="0" collapsed="false">
      <c r="A4" s="3" t="s">
        <v>24</v>
      </c>
      <c r="B4" s="3" t="s">
        <v>25</v>
      </c>
      <c r="C4" s="3" t="s">
        <v>26</v>
      </c>
      <c r="D4" s="11" t="s">
        <v>27</v>
      </c>
      <c r="E4" s="11" t="s">
        <v>28</v>
      </c>
      <c r="F4" s="11" t="s">
        <v>29</v>
      </c>
      <c r="G4" s="11" t="s">
        <v>30</v>
      </c>
      <c r="H4" s="11" t="s">
        <v>31</v>
      </c>
      <c r="I4" s="11" t="s">
        <v>32</v>
      </c>
      <c r="J4" s="11" t="s">
        <v>33</v>
      </c>
      <c r="K4" s="11" t="s">
        <v>34</v>
      </c>
      <c r="L4" s="11" t="s">
        <v>35</v>
      </c>
      <c r="M4" s="11" t="s">
        <v>36</v>
      </c>
      <c r="N4" s="11" t="s">
        <v>37</v>
      </c>
      <c r="O4" s="11" t="s">
        <v>38</v>
      </c>
    </row>
    <row r="5" customFormat="false" ht="15" hidden="false" customHeight="false" outlineLevel="0" collapsed="false">
      <c r="A5" s="12" t="s">
        <v>39</v>
      </c>
      <c r="B5" s="12" t="s">
        <v>6</v>
      </c>
      <c r="C5" s="12" t="s">
        <v>40</v>
      </c>
      <c r="D5" s="13" t="n">
        <v>15000000</v>
      </c>
      <c r="E5" s="13" t="n">
        <v>17500000</v>
      </c>
      <c r="F5" s="13" t="n">
        <v>19800000</v>
      </c>
      <c r="G5" s="13"/>
      <c r="H5" s="13"/>
      <c r="I5" s="13"/>
      <c r="J5" s="13"/>
      <c r="K5" s="13"/>
      <c r="L5" s="13"/>
      <c r="M5" s="13"/>
      <c r="N5" s="13"/>
      <c r="O5" s="13"/>
    </row>
    <row r="6" customFormat="false" ht="15" hidden="false" customHeight="false" outlineLevel="0" collapsed="false">
      <c r="A6" s="12" t="s">
        <v>39</v>
      </c>
      <c r="B6" s="12" t="s">
        <v>6</v>
      </c>
      <c r="C6" s="12" t="s">
        <v>41</v>
      </c>
      <c r="D6" s="13" t="n">
        <v>500000</v>
      </c>
      <c r="E6" s="13" t="n">
        <v>300000</v>
      </c>
      <c r="F6" s="13" t="n">
        <v>600000</v>
      </c>
      <c r="G6" s="13"/>
      <c r="H6" s="13"/>
      <c r="I6" s="13"/>
      <c r="J6" s="13"/>
      <c r="K6" s="13"/>
      <c r="L6" s="13"/>
      <c r="M6" s="13"/>
      <c r="N6" s="13"/>
      <c r="O6" s="13"/>
    </row>
    <row r="7" customFormat="false" ht="15" hidden="false" customHeight="false" outlineLevel="0" collapsed="false">
      <c r="A7" s="12" t="s">
        <v>39</v>
      </c>
      <c r="B7" s="12" t="s">
        <v>6</v>
      </c>
      <c r="C7" s="12" t="s">
        <v>42</v>
      </c>
      <c r="D7" s="13" t="n">
        <v>5000000</v>
      </c>
      <c r="E7" s="13" t="n">
        <v>5000000</v>
      </c>
      <c r="F7" s="13" t="n">
        <v>5000000</v>
      </c>
      <c r="G7" s="13"/>
      <c r="H7" s="13"/>
      <c r="I7" s="13"/>
      <c r="J7" s="13"/>
      <c r="K7" s="13"/>
      <c r="L7" s="13"/>
      <c r="M7" s="13"/>
      <c r="N7" s="13"/>
      <c r="O7" s="13"/>
    </row>
    <row r="8" customFormat="false" ht="15" hidden="false" customHeight="false" outlineLevel="0" collapsed="false">
      <c r="A8" s="12" t="s">
        <v>39</v>
      </c>
      <c r="B8" s="12" t="s">
        <v>43</v>
      </c>
      <c r="C8" s="12" t="s">
        <v>44</v>
      </c>
      <c r="D8" s="13" t="n">
        <v>80000000</v>
      </c>
      <c r="E8" s="13" t="n">
        <v>82600000</v>
      </c>
      <c r="F8" s="13" t="n">
        <v>78600000</v>
      </c>
      <c r="G8" s="13"/>
      <c r="H8" s="13"/>
      <c r="I8" s="13"/>
      <c r="J8" s="13"/>
      <c r="K8" s="13"/>
      <c r="L8" s="13"/>
      <c r="M8" s="13"/>
      <c r="N8" s="13"/>
      <c r="O8" s="13"/>
    </row>
    <row r="9" customFormat="false" ht="15" hidden="false" customHeight="false" outlineLevel="0" collapsed="false">
      <c r="A9" s="12" t="s">
        <v>39</v>
      </c>
      <c r="B9" s="12" t="s">
        <v>43</v>
      </c>
      <c r="C9" s="12" t="s">
        <v>45</v>
      </c>
      <c r="D9" s="13" t="n">
        <v>30000000</v>
      </c>
      <c r="E9" s="13" t="n">
        <v>30900000</v>
      </c>
      <c r="F9" s="13" t="n">
        <v>30400000</v>
      </c>
      <c r="G9" s="13"/>
      <c r="H9" s="13"/>
      <c r="I9" s="13"/>
      <c r="J9" s="13"/>
      <c r="K9" s="13"/>
      <c r="L9" s="13"/>
      <c r="M9" s="13"/>
      <c r="N9" s="13"/>
      <c r="O9" s="13"/>
    </row>
    <row r="10" customFormat="false" ht="15" hidden="false" customHeight="false" outlineLevel="0" collapsed="false">
      <c r="A10" s="12" t="s">
        <v>39</v>
      </c>
      <c r="B10" s="12" t="s">
        <v>43</v>
      </c>
      <c r="C10" s="12" t="s">
        <v>46</v>
      </c>
      <c r="D10" s="13" t="n">
        <v>10000000</v>
      </c>
      <c r="E10" s="13" t="n">
        <v>8800000</v>
      </c>
      <c r="F10" s="13" t="n">
        <v>11800000</v>
      </c>
      <c r="G10" s="13"/>
      <c r="H10" s="13"/>
      <c r="I10" s="13"/>
      <c r="J10" s="13"/>
      <c r="K10" s="13"/>
      <c r="L10" s="13"/>
      <c r="M10" s="13"/>
      <c r="N10" s="13"/>
      <c r="O10" s="13"/>
    </row>
    <row r="11" customFormat="false" ht="15" hidden="false" customHeight="false" outlineLevel="0" collapsed="false">
      <c r="A11" s="12" t="s">
        <v>47</v>
      </c>
      <c r="B11" s="12" t="s">
        <v>48</v>
      </c>
      <c r="C11" s="12" t="s">
        <v>49</v>
      </c>
      <c r="D11" s="13" t="n">
        <v>650000000</v>
      </c>
      <c r="E11" s="13" t="n">
        <v>650000000</v>
      </c>
      <c r="F11" s="13" t="n">
        <v>655000000</v>
      </c>
      <c r="G11" s="13"/>
      <c r="H11" s="13"/>
      <c r="I11" s="13"/>
      <c r="J11" s="13"/>
      <c r="K11" s="13"/>
      <c r="L11" s="13"/>
      <c r="M11" s="13"/>
      <c r="N11" s="13"/>
      <c r="O11" s="13"/>
    </row>
    <row r="12" customFormat="false" ht="15" hidden="false" customHeight="false" outlineLevel="0" collapsed="false">
      <c r="A12" s="12" t="s">
        <v>47</v>
      </c>
      <c r="B12" s="12" t="s">
        <v>50</v>
      </c>
      <c r="C12" s="12" t="s">
        <v>51</v>
      </c>
      <c r="D12" s="13" t="n">
        <v>40000000</v>
      </c>
      <c r="E12" s="13" t="n">
        <v>40350000</v>
      </c>
      <c r="F12" s="13" t="n">
        <v>40700000</v>
      </c>
      <c r="G12" s="13"/>
      <c r="H12" s="13"/>
      <c r="I12" s="13"/>
      <c r="J12" s="13"/>
      <c r="K12" s="13"/>
      <c r="L12" s="13"/>
      <c r="M12" s="13"/>
      <c r="N12" s="13"/>
      <c r="O12" s="13"/>
    </row>
    <row r="13" customFormat="false" ht="15" hidden="false" customHeight="false" outlineLevel="0" collapsed="false">
      <c r="A13" s="12" t="s">
        <v>47</v>
      </c>
      <c r="B13" s="12" t="s">
        <v>50</v>
      </c>
      <c r="C13" s="12" t="s">
        <v>52</v>
      </c>
      <c r="D13" s="13" t="n">
        <v>25000000</v>
      </c>
      <c r="E13" s="13" t="n">
        <v>25275000</v>
      </c>
      <c r="F13" s="13" t="n">
        <v>25550000</v>
      </c>
      <c r="G13" s="13"/>
      <c r="H13" s="13"/>
      <c r="I13" s="13"/>
      <c r="J13" s="13"/>
      <c r="K13" s="13"/>
      <c r="L13" s="13"/>
      <c r="M13" s="13"/>
      <c r="N13" s="13"/>
      <c r="O13" s="13"/>
    </row>
    <row r="14" customFormat="false" ht="15" hidden="false" customHeight="false" outlineLevel="0" collapsed="false">
      <c r="A14" s="12" t="s">
        <v>47</v>
      </c>
      <c r="B14" s="12" t="s">
        <v>53</v>
      </c>
      <c r="C14" s="12" t="s">
        <v>54</v>
      </c>
      <c r="D14" s="13" t="n">
        <v>12000000</v>
      </c>
      <c r="E14" s="13" t="n">
        <v>12100000</v>
      </c>
      <c r="F14" s="13" t="n">
        <v>12200000</v>
      </c>
      <c r="G14" s="13"/>
      <c r="H14" s="13"/>
      <c r="I14" s="13"/>
      <c r="J14" s="13"/>
      <c r="K14" s="13"/>
      <c r="L14" s="13"/>
      <c r="M14" s="13"/>
      <c r="N14" s="13"/>
      <c r="O14" s="13"/>
    </row>
    <row r="15" customFormat="false" ht="15" hidden="false" customHeight="false" outlineLevel="0" collapsed="false">
      <c r="A15" s="12" t="s">
        <v>47</v>
      </c>
      <c r="B15" s="12" t="s">
        <v>53</v>
      </c>
      <c r="C15" s="12" t="s">
        <v>55</v>
      </c>
      <c r="D15" s="13" t="n">
        <v>8000000</v>
      </c>
      <c r="E15" s="13" t="n">
        <v>8100000</v>
      </c>
      <c r="F15" s="13" t="n">
        <v>8200000</v>
      </c>
      <c r="G15" s="13"/>
      <c r="H15" s="13"/>
      <c r="I15" s="13"/>
      <c r="J15" s="13"/>
      <c r="K15" s="13"/>
      <c r="L15" s="13"/>
      <c r="M15" s="13"/>
      <c r="N15" s="13"/>
      <c r="O15" s="13"/>
    </row>
    <row r="16" customFormat="false" ht="15" hidden="false" customHeight="false" outlineLevel="0" collapsed="false">
      <c r="A16" s="12" t="s">
        <v>56</v>
      </c>
      <c r="B16" s="12" t="s">
        <v>57</v>
      </c>
      <c r="C16" s="12" t="s">
        <v>58</v>
      </c>
      <c r="D16" s="13" t="n">
        <v>300000000</v>
      </c>
      <c r="E16" s="13" t="n">
        <v>299350000</v>
      </c>
      <c r="F16" s="13" t="n">
        <v>298700000</v>
      </c>
      <c r="G16" s="13"/>
      <c r="H16" s="13"/>
      <c r="I16" s="13"/>
      <c r="J16" s="13"/>
      <c r="K16" s="13"/>
      <c r="L16" s="13"/>
      <c r="M16" s="13"/>
      <c r="N16" s="13"/>
      <c r="O16" s="13"/>
    </row>
    <row r="17" customFormat="false" ht="15" hidden="false" customHeight="false" outlineLevel="0" collapsed="false">
      <c r="A17" s="12" t="s">
        <v>56</v>
      </c>
      <c r="B17" s="12" t="s">
        <v>57</v>
      </c>
      <c r="C17" s="12" t="s">
        <v>59</v>
      </c>
      <c r="D17" s="13" t="n">
        <v>0</v>
      </c>
      <c r="E17" s="13" t="n">
        <v>0</v>
      </c>
      <c r="F17" s="13" t="n">
        <v>0</v>
      </c>
      <c r="G17" s="13"/>
      <c r="H17" s="13"/>
      <c r="I17" s="13"/>
      <c r="J17" s="13"/>
      <c r="K17" s="13"/>
      <c r="L17" s="13"/>
      <c r="M17" s="13"/>
      <c r="N17" s="13"/>
      <c r="O17" s="13"/>
    </row>
    <row r="18" customFormat="false" ht="15" hidden="false" customHeight="false" outlineLevel="0" collapsed="false">
      <c r="A18" s="12" t="s">
        <v>56</v>
      </c>
      <c r="B18" s="12" t="s">
        <v>57</v>
      </c>
      <c r="C18" s="12" t="s">
        <v>60</v>
      </c>
      <c r="D18" s="13" t="n">
        <v>20000000</v>
      </c>
      <c r="E18" s="13" t="n">
        <v>19500000</v>
      </c>
      <c r="F18" s="13" t="n">
        <v>19000000</v>
      </c>
      <c r="G18" s="13"/>
      <c r="H18" s="13"/>
      <c r="I18" s="13"/>
      <c r="J18" s="13"/>
      <c r="K18" s="13"/>
      <c r="L18" s="13"/>
      <c r="M18" s="13"/>
      <c r="N18" s="13"/>
      <c r="O18" s="13"/>
    </row>
    <row r="19" customFormat="false" ht="15" hidden="false" customHeight="false" outlineLevel="0" collapsed="false">
      <c r="A19" s="14" t="s">
        <v>61</v>
      </c>
      <c r="B19" s="14"/>
      <c r="C19" s="14"/>
    </row>
    <row r="21" customFormat="false" ht="15" hidden="false" customHeight="false" outlineLevel="0" collapsed="false">
      <c r="A21" s="3" t="s">
        <v>62</v>
      </c>
      <c r="B21" s="3"/>
      <c r="C21" s="3"/>
      <c r="D21" s="11" t="s">
        <v>27</v>
      </c>
      <c r="E21" s="11" t="s">
        <v>28</v>
      </c>
      <c r="F21" s="11" t="s">
        <v>29</v>
      </c>
      <c r="G21" s="11" t="s">
        <v>30</v>
      </c>
      <c r="H21" s="11" t="s">
        <v>31</v>
      </c>
      <c r="I21" s="11" t="s">
        <v>32</v>
      </c>
      <c r="J21" s="11" t="s">
        <v>33</v>
      </c>
      <c r="K21" s="11" t="s">
        <v>34</v>
      </c>
      <c r="L21" s="11" t="s">
        <v>35</v>
      </c>
      <c r="M21" s="11" t="s">
        <v>36</v>
      </c>
      <c r="N21" s="11" t="s">
        <v>37</v>
      </c>
      <c r="O21" s="11" t="s">
        <v>38</v>
      </c>
    </row>
    <row r="22" customFormat="false" ht="15" hidden="false" customHeight="false" outlineLevel="0" collapsed="false">
      <c r="A22" s="15" t="s">
        <v>63</v>
      </c>
      <c r="B22" s="15"/>
      <c r="C22" s="15"/>
      <c r="D22" s="7" t="n">
        <f aca="false">SUMIF($A$5:$A$19,"유동자산",D$5:D$19)</f>
        <v>140500000</v>
      </c>
      <c r="E22" s="7" t="n">
        <f aca="false">SUMIF($A$5:$A$19,"유동자산",E$5:E$19)</f>
        <v>145100000</v>
      </c>
      <c r="F22" s="7" t="n">
        <f aca="false">SUMIF($A$5:$A$19,"유동자산",F$5:F$19)</f>
        <v>146200000</v>
      </c>
      <c r="G22" s="7" t="n">
        <f aca="false">SUMIF($A$5:$A$19,"유동자산",G$5:G$19)</f>
        <v>0</v>
      </c>
      <c r="H22" s="7" t="n">
        <f aca="false">SUMIF($A$5:$A$19,"유동자산",H$5:H$19)</f>
        <v>0</v>
      </c>
      <c r="I22" s="7" t="n">
        <f aca="false">SUMIF($A$5:$A$19,"유동자산",I$5:I$19)</f>
        <v>0</v>
      </c>
      <c r="J22" s="7" t="n">
        <f aca="false">SUMIF($A$5:$A$19,"유동자산",J$5:J$19)</f>
        <v>0</v>
      </c>
      <c r="K22" s="7" t="n">
        <f aca="false">SUMIF($A$5:$A$19,"유동자산",K$5:K$19)</f>
        <v>0</v>
      </c>
      <c r="L22" s="7" t="n">
        <f aca="false">SUMIF($A$5:$A$19,"유동자산",L$5:L$19)</f>
        <v>0</v>
      </c>
      <c r="M22" s="7" t="n">
        <f aca="false">SUMIF($A$5:$A$19,"유동자산",M$5:M$19)</f>
        <v>0</v>
      </c>
      <c r="N22" s="7" t="n">
        <f aca="false">SUMIF($A$5:$A$19,"유동자산",N$5:N$19)</f>
        <v>0</v>
      </c>
      <c r="O22" s="7" t="n">
        <f aca="false">SUMIF($A$5:$A$19,"유동자산",O$5:O$19)</f>
        <v>0</v>
      </c>
    </row>
    <row r="23" customFormat="false" ht="15" hidden="false" customHeight="false" outlineLevel="0" collapsed="false">
      <c r="A23" s="15" t="s">
        <v>64</v>
      </c>
      <c r="B23" s="15"/>
      <c r="C23" s="15"/>
      <c r="D23" s="7" t="n">
        <f aca="false">SUMIF($A$5:$A$19,"비유동자산",D$5:D$19)</f>
        <v>735000000</v>
      </c>
      <c r="E23" s="7" t="n">
        <f aca="false">SUMIF($A$5:$A$19,"비유동자산",E$5:E$19)</f>
        <v>735825000</v>
      </c>
      <c r="F23" s="7" t="n">
        <f aca="false">SUMIF($A$5:$A$19,"비유동자산",F$5:F$19)</f>
        <v>741650000</v>
      </c>
      <c r="G23" s="7" t="n">
        <f aca="false">SUMIF($A$5:$A$19,"비유동자산",G$5:G$19)</f>
        <v>0</v>
      </c>
      <c r="H23" s="7" t="n">
        <f aca="false">SUMIF($A$5:$A$19,"비유동자산",H$5:H$19)</f>
        <v>0</v>
      </c>
      <c r="I23" s="7" t="n">
        <f aca="false">SUMIF($A$5:$A$19,"비유동자산",I$5:I$19)</f>
        <v>0</v>
      </c>
      <c r="J23" s="7" t="n">
        <f aca="false">SUMIF($A$5:$A$19,"비유동자산",J$5:J$19)</f>
        <v>0</v>
      </c>
      <c r="K23" s="7" t="n">
        <f aca="false">SUMIF($A$5:$A$19,"비유동자산",K$5:K$19)</f>
        <v>0</v>
      </c>
      <c r="L23" s="7" t="n">
        <f aca="false">SUMIF($A$5:$A$19,"비유동자산",L$5:L$19)</f>
        <v>0</v>
      </c>
      <c r="M23" s="7" t="n">
        <f aca="false">SUMIF($A$5:$A$19,"비유동자산",M$5:M$19)</f>
        <v>0</v>
      </c>
      <c r="N23" s="7" t="n">
        <f aca="false">SUMIF($A$5:$A$19,"비유동자산",N$5:N$19)</f>
        <v>0</v>
      </c>
      <c r="O23" s="7" t="n">
        <f aca="false">SUMIF($A$5:$A$19,"비유동자산",O$5:O$19)</f>
        <v>0</v>
      </c>
    </row>
    <row r="24" customFormat="false" ht="15" hidden="false" customHeight="false" outlineLevel="0" collapsed="false">
      <c r="A24" s="8" t="s">
        <v>65</v>
      </c>
      <c r="B24" s="8"/>
      <c r="C24" s="8"/>
      <c r="D24" s="9" t="n">
        <f aca="false">D22+D23</f>
        <v>875500000</v>
      </c>
      <c r="E24" s="9" t="n">
        <f aca="false">E22+E23</f>
        <v>880925000</v>
      </c>
      <c r="F24" s="9" t="n">
        <f aca="false">F22+F23</f>
        <v>887850000</v>
      </c>
      <c r="G24" s="9" t="n">
        <f aca="false">G22+G23</f>
        <v>0</v>
      </c>
      <c r="H24" s="9" t="n">
        <f aca="false">H22+H23</f>
        <v>0</v>
      </c>
      <c r="I24" s="9" t="n">
        <f aca="false">I22+I23</f>
        <v>0</v>
      </c>
      <c r="J24" s="9" t="n">
        <f aca="false">J22+J23</f>
        <v>0</v>
      </c>
      <c r="K24" s="9" t="n">
        <f aca="false">K22+K23</f>
        <v>0</v>
      </c>
      <c r="L24" s="9" t="n">
        <f aca="false">L22+L23</f>
        <v>0</v>
      </c>
      <c r="M24" s="9" t="n">
        <f aca="false">M22+M23</f>
        <v>0</v>
      </c>
      <c r="N24" s="9" t="n">
        <f aca="false">N22+N23</f>
        <v>0</v>
      </c>
      <c r="O24" s="9" t="n">
        <f aca="false">O22+O23</f>
        <v>0</v>
      </c>
    </row>
    <row r="25" customFormat="false" ht="15" hidden="false" customHeight="false" outlineLevel="0" collapsed="false">
      <c r="A25" s="15" t="s">
        <v>66</v>
      </c>
      <c r="B25" s="15"/>
      <c r="C25" s="15"/>
      <c r="D25" s="7" t="n">
        <f aca="false">SUMIF($A$5:$A$19,"부채",D$5:D$19)</f>
        <v>320000000</v>
      </c>
      <c r="E25" s="7" t="n">
        <f aca="false">SUMIF($A$5:$A$19,"부채",E$5:E$19)</f>
        <v>318850000</v>
      </c>
      <c r="F25" s="7" t="n">
        <f aca="false">SUMIF($A$5:$A$19,"부채",F$5:F$19)</f>
        <v>317700000</v>
      </c>
      <c r="G25" s="7" t="n">
        <f aca="false">SUMIF($A$5:$A$19,"부채",G$5:G$19)</f>
        <v>0</v>
      </c>
      <c r="H25" s="7" t="n">
        <f aca="false">SUMIF($A$5:$A$19,"부채",H$5:H$19)</f>
        <v>0</v>
      </c>
      <c r="I25" s="7" t="n">
        <f aca="false">SUMIF($A$5:$A$19,"부채",I$5:I$19)</f>
        <v>0</v>
      </c>
      <c r="J25" s="7" t="n">
        <f aca="false">SUMIF($A$5:$A$19,"부채",J$5:J$19)</f>
        <v>0</v>
      </c>
      <c r="K25" s="7" t="n">
        <f aca="false">SUMIF($A$5:$A$19,"부채",K$5:K$19)</f>
        <v>0</v>
      </c>
      <c r="L25" s="7" t="n">
        <f aca="false">SUMIF($A$5:$A$19,"부채",L$5:L$19)</f>
        <v>0</v>
      </c>
      <c r="M25" s="7" t="n">
        <f aca="false">SUMIF($A$5:$A$19,"부채",M$5:M$19)</f>
        <v>0</v>
      </c>
      <c r="N25" s="7" t="n">
        <f aca="false">SUMIF($A$5:$A$19,"부채",N$5:N$19)</f>
        <v>0</v>
      </c>
      <c r="O25" s="7" t="n">
        <f aca="false">SUMIF($A$5:$A$19,"부채",O$5:O$19)</f>
        <v>0</v>
      </c>
    </row>
    <row r="26" customFormat="false" ht="15" hidden="false" customHeight="false" outlineLevel="0" collapsed="false">
      <c r="A26" s="8" t="s">
        <v>67</v>
      </c>
      <c r="B26" s="8"/>
      <c r="C26" s="8"/>
      <c r="D26" s="9" t="n">
        <f aca="false">D24-D25</f>
        <v>555500000</v>
      </c>
      <c r="E26" s="9" t="n">
        <f aca="false">E24-E25</f>
        <v>562075000</v>
      </c>
      <c r="F26" s="9" t="n">
        <f aca="false">F24-F25</f>
        <v>570150000</v>
      </c>
      <c r="G26" s="9" t="n">
        <f aca="false">G24-G25</f>
        <v>0</v>
      </c>
      <c r="H26" s="9" t="n">
        <f aca="false">H24-H25</f>
        <v>0</v>
      </c>
      <c r="I26" s="9" t="n">
        <f aca="false">I24-I25</f>
        <v>0</v>
      </c>
      <c r="J26" s="9" t="n">
        <f aca="false">J24-J25</f>
        <v>0</v>
      </c>
      <c r="K26" s="9" t="n">
        <f aca="false">K24-K25</f>
        <v>0</v>
      </c>
      <c r="L26" s="9" t="n">
        <f aca="false">L24-L25</f>
        <v>0</v>
      </c>
      <c r="M26" s="9" t="n">
        <f aca="false">M24-M25</f>
        <v>0</v>
      </c>
      <c r="N26" s="9" t="n">
        <f aca="false">N24-N25</f>
        <v>0</v>
      </c>
      <c r="O26" s="9" t="n">
        <f aca="false">O24-O25</f>
        <v>0</v>
      </c>
    </row>
    <row r="27" customFormat="false" ht="15" hidden="false" customHeight="false" outlineLevel="0" collapsed="false">
      <c r="A27" s="15" t="s">
        <v>68</v>
      </c>
      <c r="B27" s="15"/>
      <c r="C27" s="15"/>
      <c r="D27" s="6" t="n">
        <f aca="false">IF(D24=0,0,D25/D24)</f>
        <v>0.365505425471159</v>
      </c>
      <c r="E27" s="6" t="n">
        <f aca="false">IF(E24=0,0,E25/E24)</f>
        <v>0.361949087606777</v>
      </c>
      <c r="F27" s="6" t="n">
        <f aca="false">IF(F24=0,0,F25/F24)</f>
        <v>0.357830714647745</v>
      </c>
      <c r="G27" s="6" t="n">
        <f aca="false">IF(G24=0,0,G25/G24)</f>
        <v>0</v>
      </c>
      <c r="H27" s="6" t="n">
        <f aca="false">IF(H24=0,0,H25/H24)</f>
        <v>0</v>
      </c>
      <c r="I27" s="6" t="n">
        <f aca="false">IF(I24=0,0,I25/I24)</f>
        <v>0</v>
      </c>
      <c r="J27" s="6" t="n">
        <f aca="false">IF(J24=0,0,J25/J24)</f>
        <v>0</v>
      </c>
      <c r="K27" s="6" t="n">
        <f aca="false">IF(K24=0,0,K25/K24)</f>
        <v>0</v>
      </c>
      <c r="L27" s="6" t="n">
        <f aca="false">IF(L24=0,0,L25/L24)</f>
        <v>0</v>
      </c>
      <c r="M27" s="6" t="n">
        <f aca="false">IF(M24=0,0,M25/M24)</f>
        <v>0</v>
      </c>
      <c r="N27" s="6" t="n">
        <f aca="false">IF(N24=0,0,N25/N24)</f>
        <v>0</v>
      </c>
      <c r="O27" s="6" t="n">
        <f aca="false">IF(O24=0,0,O25/O24)</f>
        <v>0</v>
      </c>
    </row>
    <row r="28" customFormat="false" ht="15" hidden="false" customHeight="false" outlineLevel="0" collapsed="false">
      <c r="A28" s="15" t="s">
        <v>69</v>
      </c>
      <c r="B28" s="15"/>
      <c r="C28" s="15"/>
      <c r="D28" s="7"/>
      <c r="E28" s="7" t="n">
        <f aca="false">IF(OR(COUNT(E$5:E$19)=0,COUNT(D$5:D$19)=0),"",E24-D24)</f>
        <v>5425000</v>
      </c>
      <c r="F28" s="7" t="n">
        <f aca="false">IF(OR(COUNT(F$5:F$19)=0,COUNT(E$5:E$19)=0),"",F24-E24)</f>
        <v>6925000</v>
      </c>
      <c r="G28" s="7" t="str">
        <f aca="false">IF(OR(COUNT(G$5:G$19)=0,COUNT(F$5:F$19)=0),"",G24-F24)</f>
        <v/>
      </c>
      <c r="H28" s="7" t="str">
        <f aca="false">IF(OR(COUNT(H$5:H$19)=0,COUNT(G$5:G$19)=0),"",H24-G24)</f>
        <v/>
      </c>
      <c r="I28" s="7" t="str">
        <f aca="false">IF(OR(COUNT(I$5:I$19)=0,COUNT(H$5:H$19)=0),"",I24-H24)</f>
        <v/>
      </c>
      <c r="J28" s="7" t="str">
        <f aca="false">IF(OR(COUNT(J$5:J$19)=0,COUNT(I$5:I$19)=0),"",J24-I24)</f>
        <v/>
      </c>
      <c r="K28" s="7" t="str">
        <f aca="false">IF(OR(COUNT(K$5:K$19)=0,COUNT(J$5:J$19)=0),"",K24-J24)</f>
        <v/>
      </c>
      <c r="L28" s="7" t="str">
        <f aca="false">IF(OR(COUNT(L$5:L$19)=0,COUNT(K$5:K$19)=0),"",L24-K24)</f>
        <v/>
      </c>
      <c r="M28" s="7" t="str">
        <f aca="false">IF(OR(COUNT(M$5:M$19)=0,COUNT(L$5:L$19)=0),"",M24-L24)</f>
        <v/>
      </c>
      <c r="N28" s="7" t="str">
        <f aca="false">IF(OR(COUNT(N$5:N$19)=0,COUNT(M$5:M$19)=0),"",N24-M24)</f>
        <v/>
      </c>
      <c r="O28" s="7" t="str">
        <f aca="false">IF(OR(COUNT(O$5:O$19)=0,COUNT(N$5:N$19)=0),"",O24-N24)</f>
        <v/>
      </c>
    </row>
    <row r="29" customFormat="false" ht="15" hidden="false" customHeight="false" outlineLevel="0" collapsed="false">
      <c r="A29" s="15" t="s">
        <v>70</v>
      </c>
      <c r="B29" s="15"/>
      <c r="C29" s="15"/>
      <c r="D29" s="6"/>
      <c r="E29" s="6" t="n">
        <f aca="false">IF(OR(E28="",D24=0),"",E28/D24)</f>
        <v>0.00619645916619075</v>
      </c>
      <c r="F29" s="6" t="n">
        <f aca="false">IF(OR(F28="",E24=0),"",F28/E24)</f>
        <v>0.00786105514090303</v>
      </c>
      <c r="G29" s="6" t="str">
        <f aca="false">IF(OR(G28="",F24=0),"",G28/F24)</f>
        <v/>
      </c>
      <c r="H29" s="6" t="str">
        <f aca="false">IF(OR(H28="",G24=0),"",H28/G24)</f>
        <v/>
      </c>
      <c r="I29" s="6" t="str">
        <f aca="false">IF(OR(I28="",H24=0),"",I28/H24)</f>
        <v/>
      </c>
      <c r="J29" s="6" t="str">
        <f aca="false">IF(OR(J28="",I24=0),"",J28/I24)</f>
        <v/>
      </c>
      <c r="K29" s="6" t="str">
        <f aca="false">IF(OR(K28="",J24=0),"",K28/J24)</f>
        <v/>
      </c>
      <c r="L29" s="6" t="str">
        <f aca="false">IF(OR(L28="",K24=0),"",L28/K24)</f>
        <v/>
      </c>
      <c r="M29" s="6" t="str">
        <f aca="false">IF(OR(M28="",L24=0),"",M28/L24)</f>
        <v/>
      </c>
      <c r="N29" s="6" t="str">
        <f aca="false">IF(OR(N28="",M24=0),"",N28/M24)</f>
        <v/>
      </c>
      <c r="O29" s="6" t="str">
        <f aca="false">IF(OR(O28="",N24=0),"",O28/N24)</f>
        <v/>
      </c>
    </row>
    <row r="30" customFormat="false" ht="15" hidden="false" customHeight="false" outlineLevel="0" collapsed="false">
      <c r="A30" s="8" t="s">
        <v>71</v>
      </c>
      <c r="B30" s="8"/>
      <c r="C30" s="8"/>
      <c r="D30" s="9"/>
      <c r="E30" s="9" t="n">
        <f aca="false">IF(OR(COUNT(E$5:E$19)=0,COUNT(D$5:D$19)=0),"",E26-D26)</f>
        <v>6575000</v>
      </c>
      <c r="F30" s="9" t="n">
        <f aca="false">IF(OR(COUNT(F$5:F$19)=0,COUNT(E$5:E$19)=0),"",F26-E26)</f>
        <v>8075000</v>
      </c>
      <c r="G30" s="9" t="str">
        <f aca="false">IF(OR(COUNT(G$5:G$19)=0,COUNT(F$5:F$19)=0),"",G26-F26)</f>
        <v/>
      </c>
      <c r="H30" s="9" t="str">
        <f aca="false">IF(OR(COUNT(H$5:H$19)=0,COUNT(G$5:G$19)=0),"",H26-G26)</f>
        <v/>
      </c>
      <c r="I30" s="9" t="str">
        <f aca="false">IF(OR(COUNT(I$5:I$19)=0,COUNT(H$5:H$19)=0),"",I26-H26)</f>
        <v/>
      </c>
      <c r="J30" s="9" t="str">
        <f aca="false">IF(OR(COUNT(J$5:J$19)=0,COUNT(I$5:I$19)=0),"",J26-I26)</f>
        <v/>
      </c>
      <c r="K30" s="9" t="str">
        <f aca="false">IF(OR(COUNT(K$5:K$19)=0,COUNT(J$5:J$19)=0),"",K26-J26)</f>
        <v/>
      </c>
      <c r="L30" s="9" t="str">
        <f aca="false">IF(OR(COUNT(L$5:L$19)=0,COUNT(K$5:K$19)=0),"",L26-K26)</f>
        <v/>
      </c>
      <c r="M30" s="9" t="str">
        <f aca="false">IF(OR(COUNT(M$5:M$19)=0,COUNT(L$5:L$19)=0),"",M26-L26)</f>
        <v/>
      </c>
      <c r="N30" s="9" t="str">
        <f aca="false">IF(OR(COUNT(N$5:N$19)=0,COUNT(M$5:M$19)=0),"",N26-M26)</f>
        <v/>
      </c>
      <c r="O30" s="9" t="str">
        <f aca="false">IF(OR(COUNT(O$5:O$19)=0,COUNT(N$5:N$19)=0),"",O26-N26)</f>
        <v/>
      </c>
    </row>
    <row r="31" customFormat="false" ht="15" hidden="false" customHeight="false" outlineLevel="0" collapsed="false">
      <c r="A31" s="8" t="s">
        <v>72</v>
      </c>
      <c r="B31" s="8"/>
      <c r="C31" s="8"/>
      <c r="D31" s="16"/>
      <c r="E31" s="16" t="n">
        <f aca="false">IF(OR(E30="",D26=0),"",E30/D26)</f>
        <v>0.0118361836183618</v>
      </c>
      <c r="F31" s="16" t="n">
        <f aca="false">IF(OR(F30="",E26=0),"",F30/E26)</f>
        <v>0.0143664101765779</v>
      </c>
      <c r="G31" s="16" t="str">
        <f aca="false">IF(OR(G30="",F26=0),"",G30/F26)</f>
        <v/>
      </c>
      <c r="H31" s="16" t="str">
        <f aca="false">IF(OR(H30="",G26=0),"",H30/G26)</f>
        <v/>
      </c>
      <c r="I31" s="16" t="str">
        <f aca="false">IF(OR(I30="",H26=0),"",I30/H26)</f>
        <v/>
      </c>
      <c r="J31" s="16" t="str">
        <f aca="false">IF(OR(J30="",I26=0),"",J30/I26)</f>
        <v/>
      </c>
      <c r="K31" s="16" t="str">
        <f aca="false">IF(OR(K30="",J26=0),"",K30/J26)</f>
        <v/>
      </c>
      <c r="L31" s="16" t="str">
        <f aca="false">IF(OR(L30="",K26=0),"",L30/K26)</f>
        <v/>
      </c>
      <c r="M31" s="16" t="str">
        <f aca="false">IF(OR(M30="",L26=0),"",M30/L26)</f>
        <v/>
      </c>
      <c r="N31" s="16" t="str">
        <f aca="false">IF(OR(N30="",M26=0),"",N30/M26)</f>
        <v/>
      </c>
      <c r="O31" s="16" t="str">
        <f aca="false">IF(OR(O30="",N26=0),"",O30/N26)</f>
        <v/>
      </c>
    </row>
    <row r="32" customFormat="false" ht="15" hidden="false" customHeight="false" outlineLevel="0" collapsed="false">
      <c r="A32" s="15" t="s">
        <v>73</v>
      </c>
      <c r="B32" s="15"/>
      <c r="C32" s="15"/>
      <c r="D32" s="5" t="n">
        <f aca="false">1월!$B$9</f>
        <v>3230000</v>
      </c>
      <c r="E32" s="5" t="n">
        <f aca="false">2월!$B$9</f>
        <v>3140000</v>
      </c>
      <c r="F32" s="5" t="n">
        <f aca="false">3월!$B$9</f>
        <v>4600000</v>
      </c>
      <c r="G32" s="5" t="n">
        <f aca="false">4월!$B$9</f>
        <v>0</v>
      </c>
      <c r="H32" s="5" t="n">
        <f aca="false">5월!$B$9</f>
        <v>0</v>
      </c>
      <c r="I32" s="5" t="n">
        <f aca="false">6월!$B$9</f>
        <v>0</v>
      </c>
      <c r="J32" s="5" t="n">
        <f aca="false">7월!$B$9</f>
        <v>0</v>
      </c>
      <c r="K32" s="5" t="n">
        <f aca="false">8월!$B$9</f>
        <v>0</v>
      </c>
      <c r="L32" s="5" t="n">
        <f aca="false">9월!$B$9</f>
        <v>0</v>
      </c>
      <c r="M32" s="5" t="n">
        <f aca="false">10월!$B$9</f>
        <v>0</v>
      </c>
      <c r="N32" s="5" t="n">
        <f aca="false">11월!$B$9</f>
        <v>0</v>
      </c>
      <c r="O32" s="5" t="n">
        <f aca="false">12월!$B$9</f>
        <v>0</v>
      </c>
    </row>
    <row r="33" customFormat="false" ht="15" hidden="false" customHeight="false" outlineLevel="0" collapsed="false">
      <c r="A33" s="15" t="s">
        <v>74</v>
      </c>
      <c r="B33" s="15"/>
      <c r="C33" s="15"/>
      <c r="D33" s="7"/>
      <c r="E33" s="7" t="n">
        <f aca="false">IF(E30="","",E30-E32)</f>
        <v>3435000</v>
      </c>
      <c r="F33" s="7" t="n">
        <f aca="false">IF(F30="","",F30-F32)</f>
        <v>3475000</v>
      </c>
      <c r="G33" s="7" t="str">
        <f aca="false">IF(G30="","",G30-G32)</f>
        <v/>
      </c>
      <c r="H33" s="7" t="str">
        <f aca="false">IF(H30="","",H30-H32)</f>
        <v/>
      </c>
      <c r="I33" s="7" t="str">
        <f aca="false">IF(I30="","",I30-I32)</f>
        <v/>
      </c>
      <c r="J33" s="7" t="str">
        <f aca="false">IF(J30="","",J30-J32)</f>
        <v/>
      </c>
      <c r="K33" s="7" t="str">
        <f aca="false">IF(K30="","",K30-K32)</f>
        <v/>
      </c>
      <c r="L33" s="7" t="str">
        <f aca="false">IF(L30="","",L30-L32)</f>
        <v/>
      </c>
      <c r="M33" s="7" t="str">
        <f aca="false">IF(M30="","",M30-M32)</f>
        <v/>
      </c>
      <c r="N33" s="7" t="str">
        <f aca="false">IF(N30="","",N30-N32)</f>
        <v/>
      </c>
      <c r="O33" s="7" t="str">
        <f aca="false">IF(O30="","",O30-O32)</f>
        <v/>
      </c>
    </row>
    <row r="34" customFormat="false" ht="15" hidden="false" customHeight="false" outlineLevel="0" collapsed="false">
      <c r="A34" s="15" t="s">
        <v>75</v>
      </c>
      <c r="B34" s="15"/>
      <c r="C34" s="15"/>
      <c r="D34" s="17"/>
      <c r="E34" s="17" t="n">
        <f aca="false">IF(OR(E33="",D26=0),"",E33/D26)</f>
        <v>0.00618361836183618</v>
      </c>
      <c r="F34" s="17" t="n">
        <f aca="false">IF(OR(F33="",E26=0),"",F33/E26)</f>
        <v>0.00618244896143753</v>
      </c>
      <c r="G34" s="17" t="str">
        <f aca="false">IF(OR(G33="",F26=0),"",G33/F26)</f>
        <v/>
      </c>
      <c r="H34" s="17" t="str">
        <f aca="false">IF(OR(H33="",G26=0),"",H33/G26)</f>
        <v/>
      </c>
      <c r="I34" s="17" t="str">
        <f aca="false">IF(OR(I33="",H26=0),"",I33/H26)</f>
        <v/>
      </c>
      <c r="J34" s="17" t="str">
        <f aca="false">IF(OR(J33="",I26=0),"",J33/I26)</f>
        <v/>
      </c>
      <c r="K34" s="17" t="str">
        <f aca="false">IF(OR(K33="",J26=0),"",K33/J26)</f>
        <v/>
      </c>
      <c r="L34" s="17" t="str">
        <f aca="false">IF(OR(L33="",K26=0),"",L33/K26)</f>
        <v/>
      </c>
      <c r="M34" s="17" t="str">
        <f aca="false">IF(OR(M33="",L26=0),"",M33/L26)</f>
        <v/>
      </c>
      <c r="N34" s="17" t="str">
        <f aca="false">IF(OR(N33="",M26=0),"",N33/M26)</f>
        <v/>
      </c>
      <c r="O34" s="17" t="str">
        <f aca="false">IF(OR(O33="",N26=0),"",O33/N26)</f>
        <v/>
      </c>
    </row>
    <row r="36" customFormat="false" ht="15" hidden="false" customHeight="false" outlineLevel="0" collapsed="false">
      <c r="A36" s="3" t="s">
        <v>24</v>
      </c>
      <c r="B36" s="3" t="s">
        <v>25</v>
      </c>
      <c r="C36" s="3"/>
      <c r="D36" s="11" t="s">
        <v>27</v>
      </c>
      <c r="E36" s="11" t="s">
        <v>28</v>
      </c>
      <c r="F36" s="11" t="s">
        <v>29</v>
      </c>
      <c r="G36" s="11" t="s">
        <v>30</v>
      </c>
      <c r="H36" s="11" t="s">
        <v>31</v>
      </c>
      <c r="I36" s="11" t="s">
        <v>32</v>
      </c>
      <c r="J36" s="11" t="s">
        <v>33</v>
      </c>
      <c r="K36" s="11" t="s">
        <v>34</v>
      </c>
      <c r="L36" s="11" t="s">
        <v>35</v>
      </c>
      <c r="M36" s="11" t="s">
        <v>36</v>
      </c>
      <c r="N36" s="11" t="s">
        <v>37</v>
      </c>
      <c r="O36" s="11" t="s">
        <v>38</v>
      </c>
    </row>
    <row r="37" customFormat="false" ht="15" hidden="false" customHeight="false" outlineLevel="0" collapsed="false">
      <c r="A37" s="15" t="s">
        <v>39</v>
      </c>
      <c r="B37" s="15" t="s">
        <v>6</v>
      </c>
      <c r="C37" s="4"/>
      <c r="D37" s="7" t="n">
        <f aca="false">SUMIFS(D$5:D$19,$A$5:$A$19,$A37,$B$5:$B$19,$B37)</f>
        <v>20500000</v>
      </c>
      <c r="E37" s="7" t="n">
        <f aca="false">SUMIFS(E$5:E$19,$A$5:$A$19,$A37,$B$5:$B$19,$B37)</f>
        <v>22800000</v>
      </c>
      <c r="F37" s="7" t="n">
        <f aca="false">SUMIFS(F$5:F$19,$A$5:$A$19,$A37,$B$5:$B$19,$B37)</f>
        <v>25400000</v>
      </c>
      <c r="G37" s="7" t="n">
        <f aca="false">SUMIFS(G$5:G$19,$A$5:$A$19,$A37,$B$5:$B$19,$B37)</f>
        <v>0</v>
      </c>
      <c r="H37" s="7" t="n">
        <f aca="false">SUMIFS(H$5:H$19,$A$5:$A$19,$A37,$B$5:$B$19,$B37)</f>
        <v>0</v>
      </c>
      <c r="I37" s="7" t="n">
        <f aca="false">SUMIFS(I$5:I$19,$A$5:$A$19,$A37,$B$5:$B$19,$B37)</f>
        <v>0</v>
      </c>
      <c r="J37" s="7" t="n">
        <f aca="false">SUMIFS(J$5:J$19,$A$5:$A$19,$A37,$B$5:$B$19,$B37)</f>
        <v>0</v>
      </c>
      <c r="K37" s="7" t="n">
        <f aca="false">SUMIFS(K$5:K$19,$A$5:$A$19,$A37,$B$5:$B$19,$B37)</f>
        <v>0</v>
      </c>
      <c r="L37" s="7" t="n">
        <f aca="false">SUMIFS(L$5:L$19,$A$5:$A$19,$A37,$B$5:$B$19,$B37)</f>
        <v>0</v>
      </c>
      <c r="M37" s="7" t="n">
        <f aca="false">SUMIFS(M$5:M$19,$A$5:$A$19,$A37,$B$5:$B$19,$B37)</f>
        <v>0</v>
      </c>
      <c r="N37" s="7" t="n">
        <f aca="false">SUMIFS(N$5:N$19,$A$5:$A$19,$A37,$B$5:$B$19,$B37)</f>
        <v>0</v>
      </c>
      <c r="O37" s="7" t="n">
        <f aca="false">SUMIFS(O$5:O$19,$A$5:$A$19,$A37,$B$5:$B$19,$B37)</f>
        <v>0</v>
      </c>
    </row>
    <row r="38" customFormat="false" ht="15" hidden="false" customHeight="false" outlineLevel="0" collapsed="false">
      <c r="A38" s="15" t="s">
        <v>39</v>
      </c>
      <c r="B38" s="15" t="s">
        <v>43</v>
      </c>
      <c r="C38" s="4"/>
      <c r="D38" s="7" t="n">
        <f aca="false">SUMIFS(D$5:D$19,$A$5:$A$19,$A38,$B$5:$B$19,$B38)</f>
        <v>120000000</v>
      </c>
      <c r="E38" s="7" t="n">
        <f aca="false">SUMIFS(E$5:E$19,$A$5:$A$19,$A38,$B$5:$B$19,$B38)</f>
        <v>122300000</v>
      </c>
      <c r="F38" s="7" t="n">
        <f aca="false">SUMIFS(F$5:F$19,$A$5:$A$19,$A38,$B$5:$B$19,$B38)</f>
        <v>120800000</v>
      </c>
      <c r="G38" s="7" t="n">
        <f aca="false">SUMIFS(G$5:G$19,$A$5:$A$19,$A38,$B$5:$B$19,$B38)</f>
        <v>0</v>
      </c>
      <c r="H38" s="7" t="n">
        <f aca="false">SUMIFS(H$5:H$19,$A$5:$A$19,$A38,$B$5:$B$19,$B38)</f>
        <v>0</v>
      </c>
      <c r="I38" s="7" t="n">
        <f aca="false">SUMIFS(I$5:I$19,$A$5:$A$19,$A38,$B$5:$B$19,$B38)</f>
        <v>0</v>
      </c>
      <c r="J38" s="7" t="n">
        <f aca="false">SUMIFS(J$5:J$19,$A$5:$A$19,$A38,$B$5:$B$19,$B38)</f>
        <v>0</v>
      </c>
      <c r="K38" s="7" t="n">
        <f aca="false">SUMIFS(K$5:K$19,$A$5:$A$19,$A38,$B$5:$B$19,$B38)</f>
        <v>0</v>
      </c>
      <c r="L38" s="7" t="n">
        <f aca="false">SUMIFS(L$5:L$19,$A$5:$A$19,$A38,$B$5:$B$19,$B38)</f>
        <v>0</v>
      </c>
      <c r="M38" s="7" t="n">
        <f aca="false">SUMIFS(M$5:M$19,$A$5:$A$19,$A38,$B$5:$B$19,$B38)</f>
        <v>0</v>
      </c>
      <c r="N38" s="7" t="n">
        <f aca="false">SUMIFS(N$5:N$19,$A$5:$A$19,$A38,$B$5:$B$19,$B38)</f>
        <v>0</v>
      </c>
      <c r="O38" s="7" t="n">
        <f aca="false">SUMIFS(O$5:O$19,$A$5:$A$19,$A38,$B$5:$B$19,$B38)</f>
        <v>0</v>
      </c>
    </row>
    <row r="39" customFormat="false" ht="15" hidden="false" customHeight="false" outlineLevel="0" collapsed="false">
      <c r="A39" s="15" t="s">
        <v>47</v>
      </c>
      <c r="B39" s="15" t="s">
        <v>48</v>
      </c>
      <c r="C39" s="4"/>
      <c r="D39" s="7" t="n">
        <f aca="false">SUMIFS(D$5:D$19,$A$5:$A$19,$A39,$B$5:$B$19,$B39)</f>
        <v>650000000</v>
      </c>
      <c r="E39" s="7" t="n">
        <f aca="false">SUMIFS(E$5:E$19,$A$5:$A$19,$A39,$B$5:$B$19,$B39)</f>
        <v>650000000</v>
      </c>
      <c r="F39" s="7" t="n">
        <f aca="false">SUMIFS(F$5:F$19,$A$5:$A$19,$A39,$B$5:$B$19,$B39)</f>
        <v>655000000</v>
      </c>
      <c r="G39" s="7" t="n">
        <f aca="false">SUMIFS(G$5:G$19,$A$5:$A$19,$A39,$B$5:$B$19,$B39)</f>
        <v>0</v>
      </c>
      <c r="H39" s="7" t="n">
        <f aca="false">SUMIFS(H$5:H$19,$A$5:$A$19,$A39,$B$5:$B$19,$B39)</f>
        <v>0</v>
      </c>
      <c r="I39" s="7" t="n">
        <f aca="false">SUMIFS(I$5:I$19,$A$5:$A$19,$A39,$B$5:$B$19,$B39)</f>
        <v>0</v>
      </c>
      <c r="J39" s="7" t="n">
        <f aca="false">SUMIFS(J$5:J$19,$A$5:$A$19,$A39,$B$5:$B$19,$B39)</f>
        <v>0</v>
      </c>
      <c r="K39" s="7" t="n">
        <f aca="false">SUMIFS(K$5:K$19,$A$5:$A$19,$A39,$B$5:$B$19,$B39)</f>
        <v>0</v>
      </c>
      <c r="L39" s="7" t="n">
        <f aca="false">SUMIFS(L$5:L$19,$A$5:$A$19,$A39,$B$5:$B$19,$B39)</f>
        <v>0</v>
      </c>
      <c r="M39" s="7" t="n">
        <f aca="false">SUMIFS(M$5:M$19,$A$5:$A$19,$A39,$B$5:$B$19,$B39)</f>
        <v>0</v>
      </c>
      <c r="N39" s="7" t="n">
        <f aca="false">SUMIFS(N$5:N$19,$A$5:$A$19,$A39,$B$5:$B$19,$B39)</f>
        <v>0</v>
      </c>
      <c r="O39" s="7" t="n">
        <f aca="false">SUMIFS(O$5:O$19,$A$5:$A$19,$A39,$B$5:$B$19,$B39)</f>
        <v>0</v>
      </c>
    </row>
    <row r="40" customFormat="false" ht="15" hidden="false" customHeight="false" outlineLevel="0" collapsed="false">
      <c r="A40" s="15" t="s">
        <v>47</v>
      </c>
      <c r="B40" s="15" t="s">
        <v>50</v>
      </c>
      <c r="C40" s="4"/>
      <c r="D40" s="7" t="n">
        <f aca="false">SUMIFS(D$5:D$19,$A$5:$A$19,$A40,$B$5:$B$19,$B40)</f>
        <v>65000000</v>
      </c>
      <c r="E40" s="7" t="n">
        <f aca="false">SUMIFS(E$5:E$19,$A$5:$A$19,$A40,$B$5:$B$19,$B40)</f>
        <v>65625000</v>
      </c>
      <c r="F40" s="7" t="n">
        <f aca="false">SUMIFS(F$5:F$19,$A$5:$A$19,$A40,$B$5:$B$19,$B40)</f>
        <v>66250000</v>
      </c>
      <c r="G40" s="7" t="n">
        <f aca="false">SUMIFS(G$5:G$19,$A$5:$A$19,$A40,$B$5:$B$19,$B40)</f>
        <v>0</v>
      </c>
      <c r="H40" s="7" t="n">
        <f aca="false">SUMIFS(H$5:H$19,$A$5:$A$19,$A40,$B$5:$B$19,$B40)</f>
        <v>0</v>
      </c>
      <c r="I40" s="7" t="n">
        <f aca="false">SUMIFS(I$5:I$19,$A$5:$A$19,$A40,$B$5:$B$19,$B40)</f>
        <v>0</v>
      </c>
      <c r="J40" s="7" t="n">
        <f aca="false">SUMIFS(J$5:J$19,$A$5:$A$19,$A40,$B$5:$B$19,$B40)</f>
        <v>0</v>
      </c>
      <c r="K40" s="7" t="n">
        <f aca="false">SUMIFS(K$5:K$19,$A$5:$A$19,$A40,$B$5:$B$19,$B40)</f>
        <v>0</v>
      </c>
      <c r="L40" s="7" t="n">
        <f aca="false">SUMIFS(L$5:L$19,$A$5:$A$19,$A40,$B$5:$B$19,$B40)</f>
        <v>0</v>
      </c>
      <c r="M40" s="7" t="n">
        <f aca="false">SUMIFS(M$5:M$19,$A$5:$A$19,$A40,$B$5:$B$19,$B40)</f>
        <v>0</v>
      </c>
      <c r="N40" s="7" t="n">
        <f aca="false">SUMIFS(N$5:N$19,$A$5:$A$19,$A40,$B$5:$B$19,$B40)</f>
        <v>0</v>
      </c>
      <c r="O40" s="7" t="n">
        <f aca="false">SUMIFS(O$5:O$19,$A$5:$A$19,$A40,$B$5:$B$19,$B40)</f>
        <v>0</v>
      </c>
    </row>
    <row r="41" customFormat="false" ht="15" hidden="false" customHeight="false" outlineLevel="0" collapsed="false">
      <c r="A41" s="15" t="s">
        <v>47</v>
      </c>
      <c r="B41" s="15" t="s">
        <v>53</v>
      </c>
      <c r="C41" s="4"/>
      <c r="D41" s="7" t="n">
        <f aca="false">SUMIFS(D$5:D$19,$A$5:$A$19,$A41,$B$5:$B$19,$B41)</f>
        <v>20000000</v>
      </c>
      <c r="E41" s="7" t="n">
        <f aca="false">SUMIFS(E$5:E$19,$A$5:$A$19,$A41,$B$5:$B$19,$B41)</f>
        <v>20200000</v>
      </c>
      <c r="F41" s="7" t="n">
        <f aca="false">SUMIFS(F$5:F$19,$A$5:$A$19,$A41,$B$5:$B$19,$B41)</f>
        <v>20400000</v>
      </c>
      <c r="G41" s="7" t="n">
        <f aca="false">SUMIFS(G$5:G$19,$A$5:$A$19,$A41,$B$5:$B$19,$B41)</f>
        <v>0</v>
      </c>
      <c r="H41" s="7" t="n">
        <f aca="false">SUMIFS(H$5:H$19,$A$5:$A$19,$A41,$B$5:$B$19,$B41)</f>
        <v>0</v>
      </c>
      <c r="I41" s="7" t="n">
        <f aca="false">SUMIFS(I$5:I$19,$A$5:$A$19,$A41,$B$5:$B$19,$B41)</f>
        <v>0</v>
      </c>
      <c r="J41" s="7" t="n">
        <f aca="false">SUMIFS(J$5:J$19,$A$5:$A$19,$A41,$B$5:$B$19,$B41)</f>
        <v>0</v>
      </c>
      <c r="K41" s="7" t="n">
        <f aca="false">SUMIFS(K$5:K$19,$A$5:$A$19,$A41,$B$5:$B$19,$B41)</f>
        <v>0</v>
      </c>
      <c r="L41" s="7" t="n">
        <f aca="false">SUMIFS(L$5:L$19,$A$5:$A$19,$A41,$B$5:$B$19,$B41)</f>
        <v>0</v>
      </c>
      <c r="M41" s="7" t="n">
        <f aca="false">SUMIFS(M$5:M$19,$A$5:$A$19,$A41,$B$5:$B$19,$B41)</f>
        <v>0</v>
      </c>
      <c r="N41" s="7" t="n">
        <f aca="false">SUMIFS(N$5:N$19,$A$5:$A$19,$A41,$B$5:$B$19,$B41)</f>
        <v>0</v>
      </c>
      <c r="O41" s="7" t="n">
        <f aca="false">SUMIFS(O$5:O$19,$A$5:$A$19,$A41,$B$5:$B$19,$B41)</f>
        <v>0</v>
      </c>
    </row>
    <row r="42" customFormat="false" ht="15" hidden="false" customHeight="false" outlineLevel="0" collapsed="false">
      <c r="A42" s="15" t="s">
        <v>56</v>
      </c>
      <c r="B42" s="15" t="s">
        <v>57</v>
      </c>
      <c r="C42" s="4"/>
      <c r="D42" s="7" t="n">
        <f aca="false">SUMIFS(D$5:D$19,$A$5:$A$19,$A42,$B$5:$B$19,$B42)</f>
        <v>320000000</v>
      </c>
      <c r="E42" s="7" t="n">
        <f aca="false">SUMIFS(E$5:E$19,$A$5:$A$19,$A42,$B$5:$B$19,$B42)</f>
        <v>318850000</v>
      </c>
      <c r="F42" s="7" t="n">
        <f aca="false">SUMIFS(F$5:F$19,$A$5:$A$19,$A42,$B$5:$B$19,$B42)</f>
        <v>317700000</v>
      </c>
      <c r="G42" s="7" t="n">
        <f aca="false">SUMIFS(G$5:G$19,$A$5:$A$19,$A42,$B$5:$B$19,$B42)</f>
        <v>0</v>
      </c>
      <c r="H42" s="7" t="n">
        <f aca="false">SUMIFS(H$5:H$19,$A$5:$A$19,$A42,$B$5:$B$19,$B42)</f>
        <v>0</v>
      </c>
      <c r="I42" s="7" t="n">
        <f aca="false">SUMIFS(I$5:I$19,$A$5:$A$19,$A42,$B$5:$B$19,$B42)</f>
        <v>0</v>
      </c>
      <c r="J42" s="7" t="n">
        <f aca="false">SUMIFS(J$5:J$19,$A$5:$A$19,$A42,$B$5:$B$19,$B42)</f>
        <v>0</v>
      </c>
      <c r="K42" s="7" t="n">
        <f aca="false">SUMIFS(K$5:K$19,$A$5:$A$19,$A42,$B$5:$B$19,$B42)</f>
        <v>0</v>
      </c>
      <c r="L42" s="7" t="n">
        <f aca="false">SUMIFS(L$5:L$19,$A$5:$A$19,$A42,$B$5:$B$19,$B42)</f>
        <v>0</v>
      </c>
      <c r="M42" s="7" t="n">
        <f aca="false">SUMIFS(M$5:M$19,$A$5:$A$19,$A42,$B$5:$B$19,$B42)</f>
        <v>0</v>
      </c>
      <c r="N42" s="7" t="n">
        <f aca="false">SUMIFS(N$5:N$19,$A$5:$A$19,$A42,$B$5:$B$19,$B42)</f>
        <v>0</v>
      </c>
      <c r="O42" s="7" t="n">
        <f aca="false">SUMIFS(O$5:O$19,$A$5:$A$19,$A42,$B$5:$B$19,$B42)</f>
        <v>0</v>
      </c>
    </row>
    <row r="43" customFormat="false" ht="15" hidden="false" customHeight="false" outlineLevel="0" collapsed="false">
      <c r="A43" s="2" t="s">
        <v>76</v>
      </c>
    </row>
  </sheetData>
  <mergeCells count="15">
    <mergeCell ref="A19:C19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</mergeCells>
  <dataValidations count="1">
    <dataValidation allowBlank="true" errorStyle="stop" operator="between" showDropDown="false" showErrorMessage="false" showInputMessage="false" sqref="A5:A18" type="list">
      <formula1>"유동자산,비유동자산,부채"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1월 가계부"</f>
        <v>2026년 1월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7600000</v>
      </c>
      <c r="D5" s="2" t="s">
        <v>4</v>
      </c>
      <c r="E5" s="19" t="n">
        <f aca="false">B7</f>
        <v>2170000</v>
      </c>
    </row>
    <row r="6" customFormat="false" ht="15" hidden="false" customHeight="false" outlineLevel="0" collapsed="false">
      <c r="A6" s="8" t="s">
        <v>3</v>
      </c>
      <c r="B6" s="9" t="n">
        <f aca="false">B7+B8</f>
        <v>4370000</v>
      </c>
      <c r="D6" s="2" t="s">
        <v>5</v>
      </c>
      <c r="E6" s="19" t="n">
        <f aca="false">B8</f>
        <v>2200000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2170000</v>
      </c>
      <c r="D7" s="2" t="s">
        <v>6</v>
      </c>
      <c r="E7" s="19" t="n">
        <f aca="false">MAX(B9,0)</f>
        <v>3230000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2200000</v>
      </c>
    </row>
    <row r="9" customFormat="false" ht="15" hidden="false" customHeight="false" outlineLevel="0" collapsed="false">
      <c r="A9" s="8" t="s">
        <v>82</v>
      </c>
      <c r="B9" s="20" t="n">
        <f aca="false">B5-B6</f>
        <v>3230000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0.425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 t="n">
        <v>4200000</v>
      </c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 t="n">
        <v>3300000</v>
      </c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 t="n">
        <v>100000</v>
      </c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 t="n">
        <v>1200000</v>
      </c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 t="n">
        <v>600000</v>
      </c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 t="n">
        <v>250000</v>
      </c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 t="n">
        <v>120000</v>
      </c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 t="n">
        <v>300000</v>
      </c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 t="n">
        <v>1500000</v>
      </c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 t="n">
        <v>200000</v>
      </c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 t="n">
        <v>50000</v>
      </c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 t="n">
        <v>150000</v>
      </c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2월 가계부"</f>
        <v>2026년 2월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7500000</v>
      </c>
      <c r="D5" s="2" t="s">
        <v>4</v>
      </c>
      <c r="E5" s="19" t="n">
        <f aca="false">B7</f>
        <v>2200000</v>
      </c>
    </row>
    <row r="6" customFormat="false" ht="15" hidden="false" customHeight="false" outlineLevel="0" collapsed="false">
      <c r="A6" s="8" t="s">
        <v>3</v>
      </c>
      <c r="B6" s="9" t="n">
        <f aca="false">B7+B8</f>
        <v>4360000</v>
      </c>
      <c r="D6" s="2" t="s">
        <v>5</v>
      </c>
      <c r="E6" s="19" t="n">
        <f aca="false">B8</f>
        <v>2160000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2200000</v>
      </c>
      <c r="D7" s="2" t="s">
        <v>6</v>
      </c>
      <c r="E7" s="19" t="n">
        <f aca="false">MAX(B9,0)</f>
        <v>3140000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2160000</v>
      </c>
    </row>
    <row r="9" customFormat="false" ht="15" hidden="false" customHeight="false" outlineLevel="0" collapsed="false">
      <c r="A9" s="8" t="s">
        <v>82</v>
      </c>
      <c r="B9" s="20" t="n">
        <f aca="false">B5-B6</f>
        <v>3140000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0.418666666666667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 t="n">
        <v>4200000</v>
      </c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 t="n">
        <v>3300000</v>
      </c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 t="n">
        <v>0</v>
      </c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 t="n">
        <v>1200000</v>
      </c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 t="n">
        <v>600000</v>
      </c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 t="n">
        <v>280000</v>
      </c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 t="n">
        <v>120000</v>
      </c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 t="n">
        <v>300000</v>
      </c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 t="n">
        <v>1650000</v>
      </c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 t="n">
        <v>0</v>
      </c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 t="n">
        <v>120000</v>
      </c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 t="n">
        <v>90000</v>
      </c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3월 가계부"</f>
        <v>2026년 3월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9000000</v>
      </c>
      <c r="D5" s="2" t="s">
        <v>4</v>
      </c>
      <c r="E5" s="19" t="n">
        <f aca="false">B7</f>
        <v>2150000</v>
      </c>
    </row>
    <row r="6" customFormat="false" ht="15" hidden="false" customHeight="false" outlineLevel="0" collapsed="false">
      <c r="A6" s="8" t="s">
        <v>3</v>
      </c>
      <c r="B6" s="9" t="n">
        <f aca="false">B7+B8</f>
        <v>4400000</v>
      </c>
      <c r="D6" s="2" t="s">
        <v>5</v>
      </c>
      <c r="E6" s="19" t="n">
        <f aca="false">B8</f>
        <v>2250000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2150000</v>
      </c>
      <c r="D7" s="2" t="s">
        <v>6</v>
      </c>
      <c r="E7" s="19" t="n">
        <f aca="false">MAX(B9,0)</f>
        <v>4600000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2250000</v>
      </c>
    </row>
    <row r="9" customFormat="false" ht="15" hidden="false" customHeight="false" outlineLevel="0" collapsed="false">
      <c r="A9" s="8" t="s">
        <v>82</v>
      </c>
      <c r="B9" s="20" t="n">
        <f aca="false">B5-B6</f>
        <v>4600000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0.511111111111111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 t="n">
        <v>4200000</v>
      </c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 t="n">
        <v>3300000</v>
      </c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 t="n">
        <v>1500000</v>
      </c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 t="n">
        <v>1200000</v>
      </c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 t="n">
        <v>600000</v>
      </c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 t="n">
        <v>230000</v>
      </c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 t="n">
        <v>120000</v>
      </c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 t="n">
        <v>300000</v>
      </c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 t="n">
        <v>1400000</v>
      </c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 t="n">
        <v>350000</v>
      </c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 t="n">
        <v>0</v>
      </c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 t="n">
        <v>200000</v>
      </c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4월 가계부"</f>
        <v>2026년 4월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5월 가계부"</f>
        <v>2026년 5월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6월 가계부"</f>
        <v>2026년 6월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7월 가계부"</f>
        <v>2026년 7월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8월 가계부"</f>
        <v>2026년 8월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9월 가계부"</f>
        <v>2026년 9월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10월 가계부"</f>
        <v>2026년 10월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11월 가계부"</f>
        <v>2026년 11월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"/>
  </cols>
  <sheetData>
    <row r="1" customFormat="false" ht="23.85" hidden="false" customHeight="false" outlineLevel="0" collapsed="false">
      <c r="A1" s="1" t="str">
        <f aca="false">설정!$B$4&amp;"년 12월 가계부"</f>
        <v>2026년 12월 가계부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3" t="s">
        <v>62</v>
      </c>
      <c r="B4" s="3" t="s">
        <v>78</v>
      </c>
      <c r="D4" s="18" t="s">
        <v>79</v>
      </c>
    </row>
    <row r="5" customFormat="false" ht="15" hidden="false" customHeight="false" outlineLevel="0" collapsed="false">
      <c r="A5" s="8" t="s">
        <v>2</v>
      </c>
      <c r="B5" s="9" t="n">
        <f aca="false">SUMIF($A$12:$A$24,"수입",$C$12:$C$24)</f>
        <v>0</v>
      </c>
      <c r="D5" s="2" t="s">
        <v>4</v>
      </c>
      <c r="E5" s="19" t="n">
        <f aca="false">B7</f>
        <v>0</v>
      </c>
    </row>
    <row r="6" customFormat="false" ht="15" hidden="false" customHeight="false" outlineLevel="0" collapsed="false">
      <c r="A6" s="8" t="s">
        <v>3</v>
      </c>
      <c r="B6" s="9" t="n">
        <f aca="false">B7+B8</f>
        <v>0</v>
      </c>
      <c r="D6" s="2" t="s">
        <v>5</v>
      </c>
      <c r="E6" s="19" t="n">
        <f aca="false">B8</f>
        <v>0</v>
      </c>
    </row>
    <row r="7" customFormat="false" ht="15" hidden="false" customHeight="false" outlineLevel="0" collapsed="false">
      <c r="A7" s="15" t="s">
        <v>80</v>
      </c>
      <c r="B7" s="7" t="n">
        <f aca="false">SUMIF($A$12:$A$24,"고정비",$C$12:$C$24)</f>
        <v>0</v>
      </c>
      <c r="D7" s="2" t="s">
        <v>6</v>
      </c>
      <c r="E7" s="19" t="n">
        <f aca="false">MAX(B9,0)</f>
        <v>0</v>
      </c>
    </row>
    <row r="8" customFormat="false" ht="15" hidden="false" customHeight="false" outlineLevel="0" collapsed="false">
      <c r="A8" s="15" t="s">
        <v>81</v>
      </c>
      <c r="B8" s="7" t="n">
        <f aca="false">SUMIF($A$12:$A$24,"변동비",$C$12:$C$24)</f>
        <v>0</v>
      </c>
    </row>
    <row r="9" customFormat="false" ht="15" hidden="false" customHeight="false" outlineLevel="0" collapsed="false">
      <c r="A9" s="8" t="s">
        <v>82</v>
      </c>
      <c r="B9" s="20" t="n">
        <f aca="false">B5-B6</f>
        <v>0</v>
      </c>
    </row>
    <row r="10" customFormat="false" ht="15" hidden="false" customHeight="false" outlineLevel="0" collapsed="false">
      <c r="A10" s="15" t="s">
        <v>7</v>
      </c>
      <c r="B10" s="6" t="n">
        <f aca="false">IF(B5=0,0,B9/B5)</f>
        <v>0</v>
      </c>
    </row>
    <row r="11" customFormat="false" ht="15" hidden="false" customHeight="false" outlineLevel="0" collapsed="false">
      <c r="A11" s="3" t="s">
        <v>83</v>
      </c>
      <c r="B11" s="3" t="s">
        <v>84</v>
      </c>
      <c r="C11" s="3" t="s">
        <v>78</v>
      </c>
      <c r="D11" s="3" t="s">
        <v>85</v>
      </c>
    </row>
    <row r="12" customFormat="false" ht="15" hidden="false" customHeight="false" outlineLevel="0" collapsed="false">
      <c r="A12" s="12" t="s">
        <v>86</v>
      </c>
      <c r="B12" s="12" t="s">
        <v>87</v>
      </c>
      <c r="C12" s="13"/>
      <c r="D12" s="12"/>
    </row>
    <row r="13" customFormat="false" ht="15" hidden="false" customHeight="false" outlineLevel="0" collapsed="false">
      <c r="A13" s="12" t="s">
        <v>86</v>
      </c>
      <c r="B13" s="12" t="s">
        <v>88</v>
      </c>
      <c r="C13" s="13"/>
      <c r="D13" s="12"/>
    </row>
    <row r="14" customFormat="false" ht="15" hidden="false" customHeight="false" outlineLevel="0" collapsed="false">
      <c r="A14" s="12" t="s">
        <v>86</v>
      </c>
      <c r="B14" s="12" t="s">
        <v>89</v>
      </c>
      <c r="C14" s="13"/>
      <c r="D14" s="12"/>
    </row>
    <row r="15" customFormat="false" ht="15" hidden="false" customHeight="false" outlineLevel="0" collapsed="false">
      <c r="A15" s="12" t="s">
        <v>4</v>
      </c>
      <c r="B15" s="12" t="s">
        <v>90</v>
      </c>
      <c r="C15" s="13"/>
      <c r="D15" s="12"/>
    </row>
    <row r="16" customFormat="false" ht="15" hidden="false" customHeight="false" outlineLevel="0" collapsed="false">
      <c r="A16" s="12" t="s">
        <v>4</v>
      </c>
      <c r="B16" s="12" t="s">
        <v>91</v>
      </c>
      <c r="C16" s="13"/>
      <c r="D16" s="12"/>
    </row>
    <row r="17" customFormat="false" ht="15" hidden="false" customHeight="false" outlineLevel="0" collapsed="false">
      <c r="A17" s="12" t="s">
        <v>4</v>
      </c>
      <c r="B17" s="12" t="s">
        <v>92</v>
      </c>
      <c r="C17" s="13"/>
      <c r="D17" s="12"/>
    </row>
    <row r="18" customFormat="false" ht="15" hidden="false" customHeight="false" outlineLevel="0" collapsed="false">
      <c r="A18" s="12" t="s">
        <v>4</v>
      </c>
      <c r="B18" s="12" t="s">
        <v>93</v>
      </c>
      <c r="C18" s="13"/>
      <c r="D18" s="12"/>
    </row>
    <row r="19" customFormat="false" ht="15" hidden="false" customHeight="false" outlineLevel="0" collapsed="false">
      <c r="A19" s="12" t="s">
        <v>5</v>
      </c>
      <c r="B19" s="12" t="s">
        <v>94</v>
      </c>
      <c r="C19" s="13"/>
      <c r="D19" s="12"/>
    </row>
    <row r="20" customFormat="false" ht="15" hidden="false" customHeight="false" outlineLevel="0" collapsed="false">
      <c r="A20" s="12" t="s">
        <v>5</v>
      </c>
      <c r="B20" s="12" t="s">
        <v>95</v>
      </c>
      <c r="C20" s="13"/>
      <c r="D20" s="12"/>
    </row>
    <row r="21" customFormat="false" ht="15" hidden="false" customHeight="false" outlineLevel="0" collapsed="false">
      <c r="A21" s="12" t="s">
        <v>5</v>
      </c>
      <c r="B21" s="12" t="s">
        <v>96</v>
      </c>
      <c r="C21" s="13"/>
      <c r="D21" s="12"/>
    </row>
    <row r="22" customFormat="false" ht="15" hidden="false" customHeight="false" outlineLevel="0" collapsed="false">
      <c r="A22" s="12" t="s">
        <v>5</v>
      </c>
      <c r="B22" s="12" t="s">
        <v>97</v>
      </c>
      <c r="C22" s="13"/>
      <c r="D22" s="12"/>
    </row>
    <row r="23" customFormat="false" ht="15" hidden="false" customHeight="false" outlineLevel="0" collapsed="false">
      <c r="A23" s="12" t="s">
        <v>5</v>
      </c>
      <c r="B23" s="12" t="s">
        <v>98</v>
      </c>
      <c r="C23" s="13"/>
      <c r="D23" s="12"/>
    </row>
    <row r="24" customFormat="false" ht="15" hidden="false" customHeight="false" outlineLevel="0" collapsed="false">
      <c r="A24" s="14" t="s">
        <v>61</v>
      </c>
      <c r="B24" s="14"/>
      <c r="C24" s="14"/>
      <c r="D24" s="14"/>
    </row>
  </sheetData>
  <mergeCells count="1">
    <mergeCell ref="A24:D24"/>
  </mergeCells>
  <dataValidations count="2">
    <dataValidation allowBlank="true" errorStyle="stop" operator="between" showDropDown="false" showErrorMessage="false" showInputMessage="false" sqref="A12:A23" type="list">
      <formula1>"수입,고정비,변동비"</formula1>
      <formula2>0</formula2>
    </dataValidation>
    <dataValidation allowBlank="true" error="설정 시트 목록에 없는 항목입니다. 그대로 사용하려면 '예'를 누르세요." errorStyle="information" operator="between" showDropDown="false" showErrorMessage="true" showInputMessage="false" sqref="B12:B23" type="list">
      <formula1>설정!$B$8:$B$35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3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9" min="9" style="0" width="90"/>
  </cols>
  <sheetData>
    <row r="1" customFormat="false" ht="23.85" hidden="false" customHeight="false" outlineLevel="0" collapsed="false">
      <c r="A1" s="21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8" t="s">
        <v>101</v>
      </c>
      <c r="B4" s="22" t="n">
        <v>2026</v>
      </c>
    </row>
    <row r="6" customFormat="false" ht="15" hidden="false" customHeight="false" outlineLevel="0" collapsed="false">
      <c r="A6" s="23" t="s">
        <v>102</v>
      </c>
      <c r="E6" s="23" t="s">
        <v>103</v>
      </c>
      <c r="I6" s="23" t="s">
        <v>104</v>
      </c>
    </row>
    <row r="7" customFormat="false" ht="15" hidden="false" customHeight="false" outlineLevel="0" collapsed="false">
      <c r="A7" s="3" t="s">
        <v>83</v>
      </c>
      <c r="B7" s="3" t="s">
        <v>84</v>
      </c>
      <c r="E7" s="3" t="s">
        <v>24</v>
      </c>
      <c r="F7" s="3" t="s">
        <v>25</v>
      </c>
      <c r="G7" s="3" t="s">
        <v>26</v>
      </c>
      <c r="I7" s="24" t="s">
        <v>105</v>
      </c>
    </row>
    <row r="8" customFormat="false" ht="15" hidden="false" customHeight="false" outlineLevel="0" collapsed="false">
      <c r="A8" s="12" t="s">
        <v>86</v>
      </c>
      <c r="B8" s="12" t="s">
        <v>87</v>
      </c>
      <c r="E8" s="12" t="s">
        <v>39</v>
      </c>
      <c r="F8" s="12" t="s">
        <v>6</v>
      </c>
      <c r="G8" s="12" t="s">
        <v>40</v>
      </c>
      <c r="I8" s="24" t="s">
        <v>106</v>
      </c>
    </row>
    <row r="9" customFormat="false" ht="15" hidden="false" customHeight="false" outlineLevel="0" collapsed="false">
      <c r="A9" s="12" t="s">
        <v>86</v>
      </c>
      <c r="B9" s="12" t="s">
        <v>88</v>
      </c>
      <c r="E9" s="12" t="s">
        <v>39</v>
      </c>
      <c r="F9" s="12" t="s">
        <v>6</v>
      </c>
      <c r="G9" s="12" t="s">
        <v>41</v>
      </c>
      <c r="I9" s="25" t="s">
        <v>107</v>
      </c>
    </row>
    <row r="10" customFormat="false" ht="15" hidden="false" customHeight="false" outlineLevel="0" collapsed="false">
      <c r="A10" s="12" t="s">
        <v>86</v>
      </c>
      <c r="B10" s="12" t="s">
        <v>89</v>
      </c>
      <c r="E10" s="12" t="s">
        <v>39</v>
      </c>
      <c r="F10" s="12" t="s">
        <v>6</v>
      </c>
      <c r="G10" s="12" t="s">
        <v>42</v>
      </c>
      <c r="I10" s="24" t="s">
        <v>108</v>
      </c>
    </row>
    <row r="11" customFormat="false" ht="15" hidden="false" customHeight="false" outlineLevel="0" collapsed="false">
      <c r="A11" s="12" t="s">
        <v>4</v>
      </c>
      <c r="B11" s="12" t="s">
        <v>90</v>
      </c>
      <c r="E11" s="12" t="s">
        <v>39</v>
      </c>
      <c r="F11" s="12" t="s">
        <v>43</v>
      </c>
      <c r="G11" s="12" t="s">
        <v>44</v>
      </c>
      <c r="I11" s="25" t="s">
        <v>109</v>
      </c>
    </row>
    <row r="12" customFormat="false" ht="15" hidden="false" customHeight="false" outlineLevel="0" collapsed="false">
      <c r="A12" s="12" t="s">
        <v>4</v>
      </c>
      <c r="B12" s="12" t="s">
        <v>91</v>
      </c>
      <c r="E12" s="12" t="s">
        <v>39</v>
      </c>
      <c r="F12" s="12" t="s">
        <v>43</v>
      </c>
      <c r="G12" s="12" t="s">
        <v>45</v>
      </c>
      <c r="I12" s="24" t="s">
        <v>110</v>
      </c>
    </row>
    <row r="13" customFormat="false" ht="15" hidden="false" customHeight="false" outlineLevel="0" collapsed="false">
      <c r="A13" s="12" t="s">
        <v>4</v>
      </c>
      <c r="B13" s="12" t="s">
        <v>92</v>
      </c>
      <c r="E13" s="12" t="s">
        <v>39</v>
      </c>
      <c r="F13" s="12" t="s">
        <v>43</v>
      </c>
      <c r="G13" s="12" t="s">
        <v>46</v>
      </c>
      <c r="I13" s="24" t="s">
        <v>111</v>
      </c>
    </row>
    <row r="14" customFormat="false" ht="15" hidden="false" customHeight="false" outlineLevel="0" collapsed="false">
      <c r="A14" s="12" t="s">
        <v>4</v>
      </c>
      <c r="B14" s="12" t="s">
        <v>93</v>
      </c>
      <c r="E14" s="12" t="s">
        <v>47</v>
      </c>
      <c r="F14" s="12" t="s">
        <v>48</v>
      </c>
      <c r="G14" s="12" t="s">
        <v>49</v>
      </c>
      <c r="I14" s="24" t="s">
        <v>112</v>
      </c>
    </row>
    <row r="15" customFormat="false" ht="15" hidden="false" customHeight="false" outlineLevel="0" collapsed="false">
      <c r="A15" s="12" t="s">
        <v>5</v>
      </c>
      <c r="B15" s="12" t="s">
        <v>94</v>
      </c>
      <c r="E15" s="12" t="s">
        <v>47</v>
      </c>
      <c r="F15" s="12" t="s">
        <v>50</v>
      </c>
      <c r="G15" s="12" t="s">
        <v>51</v>
      </c>
      <c r="I15" s="24" t="s">
        <v>113</v>
      </c>
    </row>
    <row r="16" customFormat="false" ht="15" hidden="false" customHeight="false" outlineLevel="0" collapsed="false">
      <c r="A16" s="12" t="s">
        <v>5</v>
      </c>
      <c r="B16" s="12" t="s">
        <v>95</v>
      </c>
      <c r="E16" s="12" t="s">
        <v>47</v>
      </c>
      <c r="F16" s="12" t="s">
        <v>50</v>
      </c>
      <c r="G16" s="12" t="s">
        <v>52</v>
      </c>
    </row>
    <row r="17" customFormat="false" ht="15" hidden="false" customHeight="false" outlineLevel="0" collapsed="false">
      <c r="A17" s="12" t="s">
        <v>5</v>
      </c>
      <c r="B17" s="12" t="s">
        <v>96</v>
      </c>
      <c r="E17" s="12" t="s">
        <v>47</v>
      </c>
      <c r="F17" s="12" t="s">
        <v>53</v>
      </c>
      <c r="G17" s="12" t="s">
        <v>54</v>
      </c>
    </row>
    <row r="18" customFormat="false" ht="15" hidden="false" customHeight="false" outlineLevel="0" collapsed="false">
      <c r="A18" s="12" t="s">
        <v>5</v>
      </c>
      <c r="B18" s="12" t="s">
        <v>97</v>
      </c>
      <c r="E18" s="12" t="s">
        <v>47</v>
      </c>
      <c r="F18" s="12" t="s">
        <v>53</v>
      </c>
      <c r="G18" s="12" t="s">
        <v>55</v>
      </c>
    </row>
    <row r="19" customFormat="false" ht="15" hidden="false" customHeight="false" outlineLevel="0" collapsed="false">
      <c r="A19" s="12" t="s">
        <v>5</v>
      </c>
      <c r="B19" s="12" t="s">
        <v>98</v>
      </c>
      <c r="E19" s="12" t="s">
        <v>56</v>
      </c>
      <c r="F19" s="12" t="s">
        <v>57</v>
      </c>
      <c r="G19" s="12" t="s">
        <v>58</v>
      </c>
    </row>
    <row r="20" customFormat="false" ht="15" hidden="false" customHeight="false" outlineLevel="0" collapsed="false">
      <c r="A20" s="12"/>
      <c r="B20" s="12"/>
      <c r="E20" s="12" t="s">
        <v>56</v>
      </c>
      <c r="F20" s="12" t="s">
        <v>57</v>
      </c>
      <c r="G20" s="12" t="s">
        <v>59</v>
      </c>
    </row>
    <row r="21" customFormat="false" ht="15" hidden="false" customHeight="false" outlineLevel="0" collapsed="false">
      <c r="A21" s="12"/>
      <c r="B21" s="12"/>
      <c r="E21" s="12" t="s">
        <v>56</v>
      </c>
      <c r="F21" s="12" t="s">
        <v>57</v>
      </c>
      <c r="G21" s="12" t="s">
        <v>60</v>
      </c>
    </row>
    <row r="22" customFormat="false" ht="15" hidden="false" customHeight="false" outlineLevel="0" collapsed="false">
      <c r="A22" s="12"/>
      <c r="B22" s="12"/>
      <c r="E22" s="12"/>
      <c r="F22" s="12"/>
      <c r="G22" s="12"/>
    </row>
    <row r="23" customFormat="false" ht="15" hidden="false" customHeight="false" outlineLevel="0" collapsed="false">
      <c r="A23" s="12"/>
      <c r="B23" s="12"/>
      <c r="E23" s="12"/>
      <c r="F23" s="12"/>
      <c r="G23" s="12"/>
    </row>
    <row r="24" customFormat="false" ht="15" hidden="false" customHeight="false" outlineLevel="0" collapsed="false">
      <c r="A24" s="12"/>
      <c r="B24" s="12"/>
      <c r="E24" s="12"/>
      <c r="F24" s="12"/>
      <c r="G24" s="12"/>
    </row>
    <row r="25" customFormat="false" ht="15" hidden="false" customHeight="false" outlineLevel="0" collapsed="false">
      <c r="A25" s="12"/>
      <c r="B25" s="12"/>
      <c r="E25" s="12"/>
      <c r="F25" s="12"/>
      <c r="G25" s="12"/>
    </row>
    <row r="26" customFormat="false" ht="15" hidden="false" customHeight="false" outlineLevel="0" collapsed="false">
      <c r="A26" s="12"/>
      <c r="B26" s="12"/>
      <c r="E26" s="12"/>
      <c r="F26" s="12"/>
      <c r="G26" s="12"/>
    </row>
    <row r="27" customFormat="false" ht="15" hidden="false" customHeight="false" outlineLevel="0" collapsed="false">
      <c r="A27" s="12"/>
      <c r="B27" s="12"/>
      <c r="E27" s="12"/>
      <c r="F27" s="12"/>
      <c r="G27" s="12"/>
    </row>
    <row r="28" customFormat="false" ht="15" hidden="false" customHeight="false" outlineLevel="0" collapsed="false">
      <c r="A28" s="12"/>
      <c r="B28" s="12"/>
      <c r="E28" s="12"/>
      <c r="F28" s="12"/>
      <c r="G28" s="12"/>
    </row>
    <row r="29" customFormat="false" ht="15" hidden="false" customHeight="false" outlineLevel="0" collapsed="false">
      <c r="A29" s="12"/>
      <c r="B29" s="12"/>
      <c r="E29" s="12"/>
      <c r="F29" s="12"/>
      <c r="G29" s="12"/>
    </row>
    <row r="30" customFormat="false" ht="15" hidden="false" customHeight="false" outlineLevel="0" collapsed="false">
      <c r="A30" s="12"/>
      <c r="B30" s="12"/>
      <c r="E30" s="12"/>
      <c r="F30" s="12"/>
      <c r="G30" s="12"/>
    </row>
    <row r="31" customFormat="false" ht="15" hidden="false" customHeight="false" outlineLevel="0" collapsed="false">
      <c r="A31" s="12"/>
      <c r="B31" s="12"/>
      <c r="E31" s="12"/>
      <c r="F31" s="12"/>
      <c r="G31" s="12"/>
    </row>
    <row r="32" customFormat="false" ht="15" hidden="false" customHeight="false" outlineLevel="0" collapsed="false">
      <c r="A32" s="12"/>
      <c r="B32" s="12"/>
      <c r="E32" s="12"/>
      <c r="F32" s="12"/>
      <c r="G32" s="12"/>
    </row>
    <row r="33" customFormat="false" ht="15" hidden="false" customHeight="false" outlineLevel="0" collapsed="false">
      <c r="A33" s="12"/>
      <c r="B33" s="12"/>
      <c r="E33" s="12"/>
      <c r="F33" s="12"/>
      <c r="G33" s="12"/>
    </row>
    <row r="34" customFormat="false" ht="15" hidden="false" customHeight="false" outlineLevel="0" collapsed="false">
      <c r="A34" s="12"/>
      <c r="B34" s="12"/>
      <c r="E34" s="12"/>
      <c r="F34" s="12"/>
      <c r="G34" s="12"/>
    </row>
    <row r="35" customFormat="false" ht="15" hidden="false" customHeight="false" outlineLevel="0" collapsed="false">
      <c r="A35" s="12"/>
      <c r="B35" s="12"/>
      <c r="E35" s="12"/>
      <c r="F35" s="12"/>
      <c r="G35" s="12"/>
    </row>
    <row r="36" customFormat="false" ht="15" hidden="false" customHeight="false" outlineLevel="0" collapsed="false">
      <c r="E36" s="12"/>
      <c r="F36" s="12"/>
      <c r="G36" s="12"/>
    </row>
    <row r="37" customFormat="false" ht="15" hidden="false" customHeight="false" outlineLevel="0" collapsed="false">
      <c r="E37" s="12"/>
      <c r="F37" s="12"/>
      <c r="G3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2026-10-29T00:23:20Z</dcterms:created>
  <dc:creator>openpyxl</dc:creator>
  <dc:description/>
  <dc:language>en-US</dc:language>
  <cp:lastModifiedBy/>
  <dcterms:modified xsi:type="dcterms:W3CDTF">2026-10-29T09:23:22Z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