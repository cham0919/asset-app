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4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9.xml" ContentType="application/vnd.openxmlformats-officedocument.drawingml.chart+xml"/>
  <Override PartName="/xl/charts/chart17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월별추이" sheetId="1" state="visible" r:id="rId3"/>
    <sheet name="자산관리" sheetId="2" state="visible" r:id="rId4"/>
    <sheet name="1월" sheetId="3" state="visible" r:id="rId5"/>
    <sheet name="2월" sheetId="4" state="visible" r:id="rId6"/>
    <sheet name="3월" sheetId="5" state="visible" r:id="rId7"/>
    <sheet name="4월" sheetId="6" state="visible" r:id="rId8"/>
    <sheet name="5월" sheetId="7" state="visible" r:id="rId9"/>
    <sheet name="6월" sheetId="8" state="visible" r:id="rId10"/>
    <sheet name="7월" sheetId="9" state="visible" r:id="rId11"/>
    <sheet name="8월" sheetId="10" state="visible" r:id="rId12"/>
    <sheet name="9월" sheetId="11" state="visible" r:id="rId13"/>
    <sheet name="10월" sheetId="12" state="visible" r:id="rId14"/>
    <sheet name="11월" sheetId="13" state="visible" r:id="rId15"/>
    <sheet name="12월" sheetId="14" state="visible" r:id="rId16"/>
    <sheet name="설정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<sst xmlns="http://schemas.openxmlformats.org/spreadsheetml/2006/main" count="794" uniqueCount="135">
  <si>
    <t xml:space="preserve">각 월 시트에서 자동으로 가져옵니다 (입력 불필요)</t>
  </si>
  <si>
    <t xml:space="preserve">월</t>
  </si>
  <si>
    <t xml:space="preserve">총 수입</t>
  </si>
  <si>
    <t xml:space="preserve">총 지출</t>
  </si>
  <si>
    <t xml:space="preserve">고정비</t>
  </si>
  <si>
    <t xml:space="preserve">변동비</t>
  </si>
  <si>
    <t xml:space="preserve">일반 저축</t>
  </si>
  <si>
    <t xml:space="preserve">대출상환 저축</t>
  </si>
  <si>
    <t xml:space="preserve">저축 합계</t>
  </si>
  <si>
    <t xml:space="preserve">저축률</t>
  </si>
  <si>
    <t xml:space="preserve">누적 일반 저축</t>
  </si>
  <si>
    <t xml:space="preserve">누적 대출상환</t>
  </si>
  <si>
    <t xml:space="preserve">누적 저축 합계</t>
  </si>
  <si>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</si>
  <si>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</si>
  <si>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3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</si>
  <si>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4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</si>
  <si>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5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</si>
  <si>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6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</si>
  <si>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7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</si>
  <si>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</si>
  <si>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9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</si>
  <si>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</si>
  <si>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11</t>
    </r>
    <r>
      <rPr>
        <sz val="10"/>
        <color rgb="FF1F2937"/>
        <rFont val="Noto Sans CJK SC"/>
        <family val="2"/>
      </rPr>
      <t xml:space="preserve">월</t>
    </r>
  </si>
  <si>
    <r>
      <rPr>
        <sz val="10"/>
        <color rgb="FF1F2937"/>
        <rFont val="맑은 고딕"/>
        <family val="0"/>
        <charset val="1"/>
      </rPr>
      <t xml:space="preserve">12</t>
    </r>
    <r>
      <rPr>
        <sz val="10"/>
        <color rgb="FF1F2937"/>
        <rFont val="Noto Sans CJK SC"/>
        <family val="2"/>
      </rPr>
      <t xml:space="preserve">월</t>
    </r>
  </si>
  <si>
    <t xml:space="preserve">합계</t>
  </si>
  <si>
    <t xml:space="preserve">월평균(입력월)</t>
  </si>
  <si>
    <t xml:space="preserve">저축 비중</t>
  </si>
  <si>
    <t xml:space="preserve">저축 비중: 연간 저축 합계 중 일반 저축 / 대출상환 저축이 차지하는 비율</t>
  </si>
  <si>
    <t xml:space="preserve">매월 말 기준 잔액을 노란 칸에 입력하세요. 부채는 양수로 입력합니다.</t>
  </si>
  <si>
    <r>
      <rPr>
        <b val="true"/>
        <sz val="12"/>
        <color rgb="FF1F2937"/>
        <rFont val="맑은 고딕"/>
        <family val="0"/>
        <charset val="1"/>
      </rPr>
      <t xml:space="preserve">1</t>
    </r>
    <r>
      <rPr>
        <b val="true"/>
        <sz val="12"/>
        <color rgb="FF1F2937"/>
        <rFont val="Noto Sans CJK SC"/>
        <family val="2"/>
      </rPr>
      <t xml:space="preserve">월 대비 현재</t>
    </r>
  </si>
  <si>
    <t xml:space="preserve">오늘 기준월</t>
  </si>
  <si>
    <t xml:space="preserve">표시월</t>
  </si>
  <si>
    <t xml:space="preserve">구분</t>
  </si>
  <si>
    <r>
      <rPr>
        <b val="true"/>
        <sz val="10"/>
        <color rgb="FF1F2937"/>
        <rFont val="맑은 고딕"/>
        <family val="0"/>
        <charset val="1"/>
      </rPr>
      <t xml:space="preserve">1</t>
    </r>
    <r>
      <rPr>
        <b val="true"/>
        <sz val="10"/>
        <color rgb="FF1F2937"/>
        <rFont val="Noto Sans CJK SC"/>
        <family val="2"/>
      </rPr>
      <t xml:space="preserve">월</t>
    </r>
  </si>
  <si>
    <t xml:space="preserve">증감액</t>
  </si>
  <si>
    <t xml:space="preserve">증가율</t>
  </si>
  <si>
    <t xml:space="preserve">총자산</t>
  </si>
  <si>
    <t xml:space="preserve">매일 오늘 날짜 기준으로 자동 갱신 · 1월 값이 없거나 2월 이후 입력이 없으면 비워 둡니다</t>
  </si>
  <si>
    <t xml:space="preserve">순자산</t>
  </si>
  <si>
    <t xml:space="preserve">대분류</t>
  </si>
  <si>
    <t xml:space="preserve">중분류</t>
  </si>
  <si>
    <t xml:space="preserve">소분류</t>
  </si>
  <si>
    <r>
      <rPr>
        <b val="true"/>
        <sz val="10"/>
        <color rgb="FF1F2937"/>
        <rFont val="맑은 고딕"/>
        <family val="0"/>
        <charset val="1"/>
      </rPr>
      <t xml:space="preserve">2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</si>
  <si>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3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</si>
  <si>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4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</si>
  <si>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5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</si>
  <si>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6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</si>
  <si>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7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</si>
  <si>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8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</si>
  <si>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9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</si>
  <si>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10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</si>
  <si>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11</t>
    </r>
    <r>
      <rPr>
        <b val="true"/>
        <sz val="10"/>
        <color rgb="FF1F2937"/>
        <rFont val="Noto Sans CJK SC"/>
        <family val="2"/>
      </rPr>
      <t xml:space="preserve">월</t>
    </r>
  </si>
  <si>
    <r>
      <rPr>
        <b val="true"/>
        <sz val="10"/>
        <color rgb="FF1F2937"/>
        <rFont val="맑은 고딕"/>
        <family val="0"/>
        <charset val="1"/>
      </rPr>
      <t xml:space="preserve">12</t>
    </r>
    <r>
      <rPr>
        <b val="true"/>
        <sz val="10"/>
        <color rgb="FF1F2937"/>
        <rFont val="Noto Sans CJK SC"/>
        <family val="2"/>
      </rPr>
      <t xml:space="preserve">월</t>
    </r>
  </si>
  <si>
    <t xml:space="preserve">유동자산</t>
  </si>
  <si>
    <t xml:space="preserve">저축</t>
  </si>
  <si>
    <t xml:space="preserve">현금</t>
  </si>
  <si>
    <t xml:space="preserve">복지포인트</t>
  </si>
  <si>
    <t xml:space="preserve">예비현금</t>
  </si>
  <si>
    <t xml:space="preserve">투자</t>
  </si>
  <si>
    <t xml:space="preserve">참주식</t>
  </si>
  <si>
    <t xml:space="preserve">정윤주식</t>
  </si>
  <si>
    <t xml:space="preserve">비트코인</t>
  </si>
  <si>
    <t xml:space="preserve">비유동자산</t>
  </si>
  <si>
    <t xml:space="preserve">부동산</t>
  </si>
  <si>
    <t xml:space="preserve">아파트</t>
  </si>
  <si>
    <t xml:space="preserve">퇴직금</t>
  </si>
  <si>
    <t xml:space="preserve">참퇴직금</t>
  </si>
  <si>
    <t xml:space="preserve">정윤퇴직금</t>
  </si>
  <si>
    <t xml:space="preserve">청약</t>
  </si>
  <si>
    <t xml:space="preserve">참청약</t>
  </si>
  <si>
    <t xml:space="preserve">정윤청약</t>
  </si>
  <si>
    <t xml:space="preserve">부채</t>
  </si>
  <si>
    <t xml:space="preserve">대출</t>
  </si>
  <si>
    <t xml:space="preserve">주택담보대출</t>
  </si>
  <si>
    <t xml:space="preserve">신용대출</t>
  </si>
  <si>
    <t xml:space="preserve">사내대출</t>
  </si>
  <si>
    <t xml:space="preserve">▲ 항목 추가 시 이 행 위에 행 삽입</t>
  </si>
  <si>
    <t xml:space="preserve">요약</t>
  </si>
  <si>
    <t xml:space="preserve">유동자산 합계</t>
  </si>
  <si>
    <t xml:space="preserve">비유동자산 합계</t>
  </si>
  <si>
    <t xml:space="preserve">부채 합계</t>
  </si>
  <si>
    <t xml:space="preserve">부채비율 (부채/총자산)</t>
  </si>
  <si>
    <t xml:space="preserve">전월 대비 총자산 증감</t>
  </si>
  <si>
    <t xml:space="preserve">총자산 증감률</t>
  </si>
  <si>
    <t xml:space="preserve">전월 대비 순자산 증감</t>
  </si>
  <si>
    <t xml:space="preserve">순자산 증감률 (수익률)</t>
  </si>
  <si>
    <t xml:space="preserve">이번 달 일반 저축 (가계부)</t>
  </si>
  <si>
    <t xml:space="preserve">이번 달 대출상환 저축</t>
  </si>
  <si>
    <t xml:space="preserve">이번 달 저축 합계</t>
  </si>
  <si>
    <t xml:space="preserve">저축 외 자산 변동 (투자손익 등)</t>
  </si>
  <si>
    <t xml:space="preserve">저축 제외 수익률</t>
  </si>
  <si>
    <t xml:space="preserve">중분류를 새로 만들었다면 이 표에도 한 줄 추가하세요 (대분류·중분류만 적으면 자동 합산).</t>
  </si>
  <si>
    <t xml:space="preserve">노란 칸에 금액을 입력하세요. 저축 합계 = 일반 저축(수입 − 지출) + 대출상환 저축(자산관리 시트 부채 감소분, 자동)</t>
  </si>
  <si>
    <t xml:space="preserve">금액</t>
  </si>
  <si>
    <t xml:space="preserve">그래프 데이터</t>
  </si>
  <si>
    <t xml:space="preserve">  고정비</t>
  </si>
  <si>
    <t xml:space="preserve">일반저축</t>
  </si>
  <si>
    <t xml:space="preserve">  변동비</t>
  </si>
  <si>
    <t xml:space="preserve">  일반 저축 (수입−지출)</t>
  </si>
  <si>
    <t xml:space="preserve">  대출상환 저축 (부채 감소)</t>
  </si>
  <si>
    <t xml:space="preserve">구분(1차)</t>
  </si>
  <si>
    <t xml:space="preserve">항목(2차)</t>
  </si>
  <si>
    <t xml:space="preserve">메모</t>
  </si>
  <si>
    <t xml:space="preserve">수입</t>
  </si>
  <si>
    <t xml:space="preserve">참월급</t>
  </si>
  <si>
    <t xml:space="preserve">정윤월급</t>
  </si>
  <si>
    <t xml:space="preserve">기타수입</t>
  </si>
  <si>
    <t xml:space="preserve">주거비</t>
  </si>
  <si>
    <t xml:space="preserve">용돈</t>
  </si>
  <si>
    <t xml:space="preserve">관리비</t>
  </si>
  <si>
    <t xml:space="preserve">통신</t>
  </si>
  <si>
    <t xml:space="preserve">할부금</t>
  </si>
  <si>
    <t xml:space="preserve">생활비</t>
  </si>
  <si>
    <t xml:space="preserve">초과금</t>
  </si>
  <si>
    <t xml:space="preserve">의료비</t>
  </si>
  <si>
    <t xml:space="preserve">기타</t>
  </si>
  <si>
    <t xml:space="preserve">설정 · 항목 관리</t>
  </si>
  <si>
    <t xml:space="preserve">파란 글씨·노란 칸이 직접 입력하는 칸입니다. 항목을 추가·삭제하면 각 시트의 드롭다운 목록에 반영됩니다.</t>
  </si>
  <si>
    <t xml:space="preserve">기준 연도</t>
  </si>
  <si>
    <t xml:space="preserve">전년 12월 말 부채</t>
  </si>
  <si>
    <r>
      <rPr>
        <sz val="9"/>
        <color rgb="FF6B7280"/>
        <rFont val="맑은 고딕"/>
        <family val="0"/>
        <charset val="1"/>
      </rPr>
      <t xml:space="preserve">← 1</t>
    </r>
    <r>
      <rPr>
        <sz val="9"/>
        <color rgb="FF6B7280"/>
        <rFont val="Noto Sans CJK SC"/>
        <family val="2"/>
      </rPr>
      <t xml:space="preserve">월 대출 상환액 계산용 </t>
    </r>
    <r>
      <rPr>
        <sz val="9"/>
        <color rgb="FF6B7280"/>
        <rFont val="맑은 고딕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작년 </t>
    </r>
    <r>
      <rPr>
        <sz val="9"/>
        <color rgb="FF6B7280"/>
        <rFont val="맑은 고딕"/>
        <family val="0"/>
        <charset val="1"/>
      </rPr>
      <t xml:space="preserve">12</t>
    </r>
    <r>
      <rPr>
        <sz val="9"/>
        <color rgb="FF6B7280"/>
        <rFont val="Noto Sans CJK SC"/>
        <family val="2"/>
      </rPr>
      <t xml:space="preserve">월 자산관리 시트의 부채 합계</t>
    </r>
    <r>
      <rPr>
        <sz val="9"/>
        <color rgb="FF6B7280"/>
        <rFont val="맑은 고딕"/>
        <family val="0"/>
        <charset val="1"/>
      </rPr>
      <t xml:space="preserve">). </t>
    </r>
    <r>
      <rPr>
        <sz val="9"/>
        <color rgb="FF6B7280"/>
        <rFont val="Noto Sans CJK SC"/>
        <family val="2"/>
      </rPr>
      <t xml:space="preserve">비워 두면 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월 상환액은 </t>
    </r>
    <r>
      <rPr>
        <sz val="9"/>
        <color rgb="FF6B7280"/>
        <rFont val="맑은 고딕"/>
        <family val="0"/>
        <charset val="1"/>
      </rPr>
      <t xml:space="preserve">0</t>
    </r>
  </si>
  <si>
    <t xml:space="preserve">가계부 항목</t>
  </si>
  <si>
    <t xml:space="preserve">자산 분류</t>
  </si>
  <si>
    <t xml:space="preserve">사용 방법</t>
  </si>
  <si>
    <r>
      <rPr>
        <sz val="10"/>
        <color rgb="FF6B7280"/>
        <rFont val="맑은 고딕"/>
        <family val="0"/>
        <charset val="1"/>
      </rPr>
      <t xml:space="preserve">1) </t>
    </r>
    <r>
      <rPr>
        <sz val="10"/>
        <color rgb="FF6B7280"/>
        <rFont val="Noto Sans CJK SC"/>
        <family val="2"/>
      </rPr>
      <t xml:space="preserve">매달 </t>
    </r>
    <r>
      <rPr>
        <sz val="10"/>
        <color rgb="FF6B7280"/>
        <rFont val="맑은 고딕"/>
        <family val="0"/>
        <charset val="1"/>
      </rPr>
      <t xml:space="preserve">'N</t>
    </r>
    <r>
      <rPr>
        <sz val="10"/>
        <color rgb="FF6B7280"/>
        <rFont val="Noto Sans CJK SC"/>
        <family val="2"/>
      </rPr>
      <t xml:space="preserve">월</t>
    </r>
    <r>
      <rPr>
        <sz val="10"/>
        <color rgb="FF6B7280"/>
        <rFont val="맑은 고딕"/>
        <family val="0"/>
        <charset val="1"/>
      </rPr>
      <t xml:space="preserve">' </t>
    </r>
    <r>
      <rPr>
        <sz val="10"/>
        <color rgb="FF6B7280"/>
        <rFont val="Noto Sans CJK SC"/>
        <family val="2"/>
      </rPr>
      <t xml:space="preserve">시트의 금액 칸에 입력하면 합계</t>
    </r>
    <r>
      <rPr>
        <sz val="10"/>
        <color rgb="FF6B7280"/>
        <rFont val="맑은 고딕"/>
        <family val="0"/>
        <charset val="1"/>
      </rPr>
      <t xml:space="preserve">·</t>
    </r>
    <r>
      <rPr>
        <sz val="10"/>
        <color rgb="FF6B7280"/>
        <rFont val="Noto Sans CJK SC"/>
        <family val="2"/>
      </rPr>
      <t xml:space="preserve">저축</t>
    </r>
    <r>
      <rPr>
        <sz val="10"/>
        <color rgb="FF6B7280"/>
        <rFont val="맑은 고딕"/>
        <family val="0"/>
        <charset val="1"/>
      </rPr>
      <t xml:space="preserve">·</t>
    </r>
    <r>
      <rPr>
        <sz val="10"/>
        <color rgb="FF6B7280"/>
        <rFont val="Noto Sans CJK SC"/>
        <family val="2"/>
      </rPr>
      <t xml:space="preserve">그래프가 자동 계산됩니다</t>
    </r>
    <r>
      <rPr>
        <sz val="10"/>
        <color rgb="FF6B7280"/>
        <rFont val="맑은 고딕"/>
        <family val="0"/>
        <charset val="1"/>
      </rPr>
      <t xml:space="preserve">.</t>
    </r>
  </si>
  <si>
    <r>
      <rPr>
        <sz val="10"/>
        <color rgb="FF6B7280"/>
        <rFont val="맑은 고딕"/>
        <family val="0"/>
        <charset val="1"/>
      </rPr>
      <t xml:space="preserve">2) </t>
    </r>
    <r>
      <rPr>
        <sz val="10"/>
        <color rgb="FF6B7280"/>
        <rFont val="Noto Sans CJK SC"/>
        <family val="2"/>
      </rPr>
      <t xml:space="preserve">가계부 항목 추가</t>
    </r>
    <r>
      <rPr>
        <sz val="10"/>
        <color rgb="FF6B7280"/>
        <rFont val="맑은 고딕"/>
        <family val="0"/>
        <charset val="1"/>
      </rPr>
      <t xml:space="preserve">: </t>
    </r>
    <r>
      <rPr>
        <sz val="10"/>
        <color rgb="FF6B7280"/>
        <rFont val="Noto Sans CJK SC"/>
        <family val="2"/>
      </rPr>
      <t xml:space="preserve">해당 월 시트의 </t>
    </r>
    <r>
      <rPr>
        <sz val="10"/>
        <color rgb="FF6B7280"/>
        <rFont val="맑은 고딕"/>
        <family val="0"/>
        <charset val="1"/>
      </rPr>
      <t xml:space="preserve">'▲ </t>
    </r>
    <r>
      <rPr>
        <sz val="10"/>
        <color rgb="FF6B7280"/>
        <rFont val="Noto Sans CJK SC"/>
        <family val="2"/>
      </rPr>
      <t xml:space="preserve">이 행 위에 삽입</t>
    </r>
    <r>
      <rPr>
        <sz val="10"/>
        <color rgb="FF6B7280"/>
        <rFont val="맑은 고딕"/>
        <family val="0"/>
        <charset val="1"/>
      </rPr>
      <t xml:space="preserve">' </t>
    </r>
    <r>
      <rPr>
        <sz val="10"/>
        <color rgb="FF6B7280"/>
        <rFont val="Noto Sans CJK SC"/>
        <family val="2"/>
      </rPr>
      <t xml:space="preserve">행 위에 행을 넣고 구분</t>
    </r>
    <r>
      <rPr>
        <sz val="10"/>
        <color rgb="FF6B7280"/>
        <rFont val="맑은 고딕"/>
        <family val="0"/>
        <charset val="1"/>
      </rPr>
      <t xml:space="preserve">/</t>
    </r>
    <r>
      <rPr>
        <sz val="10"/>
        <color rgb="FF6B7280"/>
        <rFont val="Noto Sans CJK SC"/>
        <family val="2"/>
      </rPr>
      <t xml:space="preserve">항목</t>
    </r>
    <r>
      <rPr>
        <sz val="10"/>
        <color rgb="FF6B7280"/>
        <rFont val="맑은 고딕"/>
        <family val="0"/>
        <charset val="1"/>
      </rPr>
      <t xml:space="preserve">/</t>
    </r>
    <r>
      <rPr>
        <sz val="10"/>
        <color rgb="FF6B7280"/>
        <rFont val="Noto Sans CJK SC"/>
        <family val="2"/>
      </rPr>
      <t xml:space="preserve">금액 입력</t>
    </r>
    <r>
      <rPr>
        <sz val="10"/>
        <color rgb="FF6B7280"/>
        <rFont val="맑은 고딕"/>
        <family val="0"/>
        <charset val="1"/>
      </rPr>
      <t xml:space="preserve">.</t>
    </r>
  </si>
  <si>
    <t xml:space="preserve">   항목 삭제: 그 행을 통째로 삭제. 구분은 반드시 수입·고정비·변동비 중 하나.</t>
  </si>
  <si>
    <r>
      <rPr>
        <sz val="10"/>
        <color rgb="FF6B7280"/>
        <rFont val="맑은 고딕"/>
        <family val="0"/>
        <charset val="1"/>
      </rPr>
      <t xml:space="preserve">3) </t>
    </r>
    <r>
      <rPr>
        <sz val="10"/>
        <color rgb="FF6B7280"/>
        <rFont val="Noto Sans CJK SC"/>
        <family val="2"/>
      </rPr>
      <t xml:space="preserve">자산 항목 추가</t>
    </r>
    <r>
      <rPr>
        <sz val="10"/>
        <color rgb="FF6B7280"/>
        <rFont val="맑은 고딕"/>
        <family val="0"/>
        <charset val="1"/>
      </rPr>
      <t xml:space="preserve">/</t>
    </r>
    <r>
      <rPr>
        <sz val="10"/>
        <color rgb="FF6B7280"/>
        <rFont val="Noto Sans CJK SC"/>
        <family val="2"/>
      </rPr>
      <t xml:space="preserve">삭제도 </t>
    </r>
    <r>
      <rPr>
        <sz val="10"/>
        <color rgb="FF6B7280"/>
        <rFont val="맑은 고딕"/>
        <family val="0"/>
        <charset val="1"/>
      </rPr>
      <t xml:space="preserve">'</t>
    </r>
    <r>
      <rPr>
        <sz val="10"/>
        <color rgb="FF6B7280"/>
        <rFont val="Noto Sans CJK SC"/>
        <family val="2"/>
      </rPr>
      <t xml:space="preserve">자산관리</t>
    </r>
    <r>
      <rPr>
        <sz val="10"/>
        <color rgb="FF6B7280"/>
        <rFont val="맑은 고딕"/>
        <family val="0"/>
        <charset val="1"/>
      </rPr>
      <t xml:space="preserve">' </t>
    </r>
    <r>
      <rPr>
        <sz val="10"/>
        <color rgb="FF6B7280"/>
        <rFont val="Noto Sans CJK SC"/>
        <family val="2"/>
      </rPr>
      <t xml:space="preserve">시트의 </t>
    </r>
    <r>
      <rPr>
        <sz val="10"/>
        <color rgb="FF6B7280"/>
        <rFont val="맑은 고딕"/>
        <family val="0"/>
        <charset val="1"/>
      </rPr>
      <t xml:space="preserve">'▲ </t>
    </r>
    <r>
      <rPr>
        <sz val="10"/>
        <color rgb="FF6B7280"/>
        <rFont val="Noto Sans CJK SC"/>
        <family val="2"/>
      </rPr>
      <t xml:space="preserve">이 행 위에 삽입</t>
    </r>
    <r>
      <rPr>
        <sz val="10"/>
        <color rgb="FF6B7280"/>
        <rFont val="맑은 고딕"/>
        <family val="0"/>
        <charset val="1"/>
      </rPr>
      <t xml:space="preserve">' </t>
    </r>
    <r>
      <rPr>
        <sz val="10"/>
        <color rgb="FF6B7280"/>
        <rFont val="Noto Sans CJK SC"/>
        <family val="2"/>
      </rPr>
      <t xml:space="preserve">행 기준으로 동일하게 합니다</t>
    </r>
    <r>
      <rPr>
        <sz val="10"/>
        <color rgb="FF6B7280"/>
        <rFont val="맑은 고딕"/>
        <family val="0"/>
        <charset val="1"/>
      </rPr>
      <t xml:space="preserve">.</t>
    </r>
  </si>
  <si>
    <t xml:space="preserve">   대분류는 반드시 유동자산·비유동자산·부채 중 하나.</t>
  </si>
  <si>
    <r>
      <rPr>
        <sz val="10"/>
        <color rgb="FF6B7280"/>
        <rFont val="맑은 고딕"/>
        <family val="0"/>
        <charset val="1"/>
      </rPr>
      <t xml:space="preserve">4) </t>
    </r>
    <r>
      <rPr>
        <sz val="10"/>
        <color rgb="FF6B7280"/>
        <rFont val="Noto Sans CJK SC"/>
        <family val="2"/>
      </rPr>
      <t xml:space="preserve">부채는 양수로 입력하세요 </t>
    </r>
    <r>
      <rPr>
        <sz val="10"/>
        <color rgb="FF6B7280"/>
        <rFont val="맑은 고딕"/>
        <family val="0"/>
        <charset val="1"/>
      </rPr>
      <t xml:space="preserve">(</t>
    </r>
    <r>
      <rPr>
        <sz val="10"/>
        <color rgb="FF6B7280"/>
        <rFont val="Noto Sans CJK SC"/>
        <family val="2"/>
      </rPr>
      <t xml:space="preserve">예</t>
    </r>
    <r>
      <rPr>
        <sz val="10"/>
        <color rgb="FF6B7280"/>
        <rFont val="맑은 고딕"/>
        <family val="0"/>
        <charset val="1"/>
      </rPr>
      <t xml:space="preserve">: </t>
    </r>
    <r>
      <rPr>
        <sz val="10"/>
        <color rgb="FF6B7280"/>
        <rFont val="Noto Sans CJK SC"/>
        <family val="2"/>
      </rPr>
      <t xml:space="preserve">대출 잔액 </t>
    </r>
    <r>
      <rPr>
        <sz val="10"/>
        <color rgb="FF6B7280"/>
        <rFont val="맑은 고딕"/>
        <family val="0"/>
        <charset val="1"/>
      </rPr>
      <t xml:space="preserve">300,000,000).</t>
    </r>
  </si>
  <si>
    <t xml:space="preserve">   저축은 두 가지로 나눠 관리합니다: 일반 저축 = 수입 − 지출, 대출상환 저축 = 자산관리 시트 부채 합계가 전월보다 줄어든 만큼(자동).</t>
  </si>
  <si>
    <r>
      <rPr>
        <sz val="10"/>
        <color rgb="FF6B7280"/>
        <rFont val="맑은 고딕"/>
        <family val="0"/>
        <charset val="1"/>
      </rPr>
      <t xml:space="preserve">5) </t>
    </r>
    <r>
      <rPr>
        <sz val="10"/>
        <color rgb="FF6B7280"/>
        <rFont val="Noto Sans CJK SC"/>
        <family val="2"/>
      </rPr>
      <t xml:space="preserve">이 설정 시트의 목록은 드롭다운 후보입니다</t>
    </r>
    <r>
      <rPr>
        <sz val="10"/>
        <color rgb="FF6B7280"/>
        <rFont val="맑은 고딕"/>
        <family val="0"/>
        <charset val="1"/>
      </rPr>
      <t xml:space="preserve">. </t>
    </r>
    <r>
      <rPr>
        <sz val="10"/>
        <color rgb="FF6B7280"/>
        <rFont val="Noto Sans CJK SC"/>
        <family val="2"/>
      </rPr>
      <t xml:space="preserve">새 항목은 여기에도 적어두면 편합니다</t>
    </r>
    <r>
      <rPr>
        <sz val="10"/>
        <color rgb="FF6B7280"/>
        <rFont val="맑은 고딕"/>
        <family val="0"/>
        <charset val="1"/>
      </rPr>
      <t xml:space="preserve">.</t>
    </r>
  </si>
  <si>
    <r>
      <rPr>
        <sz val="10"/>
        <color rgb="FF6B7280"/>
        <rFont val="맑은 고딕"/>
        <family val="0"/>
        <charset val="1"/>
      </rPr>
      <t xml:space="preserve">6) 1~3</t>
    </r>
    <r>
      <rPr>
        <sz val="10"/>
        <color rgb="FF6B7280"/>
        <rFont val="Noto Sans CJK SC"/>
        <family val="2"/>
      </rPr>
      <t xml:space="preserve">월 값은 예시입니다</t>
    </r>
    <r>
      <rPr>
        <sz val="10"/>
        <color rgb="FF6B7280"/>
        <rFont val="맑은 고딕"/>
        <family val="0"/>
        <charset val="1"/>
      </rPr>
      <t xml:space="preserve">. </t>
    </r>
    <r>
      <rPr>
        <sz val="10"/>
        <color rgb="FF6B7280"/>
        <rFont val="Noto Sans CJK SC"/>
        <family val="2"/>
      </rPr>
      <t xml:space="preserve">실제 금액으로 덮어쓰거나 지우세요</t>
    </r>
    <r>
      <rPr>
        <sz val="10"/>
        <color rgb="FF6B7280"/>
        <rFont val="맑은 고딕"/>
        <family val="0"/>
        <charset val="1"/>
      </rPr>
      <t xml:space="preserve">.</t>
    </r>
  </si>
  <si>
    <r>
      <rPr>
        <sz val="10"/>
        <color rgb="FF6B7280"/>
        <rFont val="맑은 고딕"/>
        <family val="0"/>
        <charset val="1"/>
      </rPr>
      <t xml:space="preserve">7) </t>
    </r>
    <r>
      <rPr>
        <sz val="10"/>
        <color rgb="FF6B7280"/>
        <rFont val="Noto Sans CJK SC"/>
        <family val="2"/>
      </rPr>
      <t xml:space="preserve">앱은 시트 이름</t>
    </r>
    <r>
      <rPr>
        <sz val="10"/>
        <color rgb="FF6B7280"/>
        <rFont val="맑은 고딕"/>
        <family val="0"/>
        <charset val="1"/>
      </rPr>
      <t xml:space="preserve">(1</t>
    </r>
    <r>
      <rPr>
        <sz val="10"/>
        <color rgb="FF6B7280"/>
        <rFont val="Noto Sans CJK SC"/>
        <family val="2"/>
      </rPr>
      <t xml:space="preserve">월</t>
    </r>
    <r>
      <rPr>
        <sz val="10"/>
        <color rgb="FF6B7280"/>
        <rFont val="맑은 고딕"/>
        <family val="0"/>
        <charset val="1"/>
      </rPr>
      <t xml:space="preserve">~12</t>
    </r>
    <r>
      <rPr>
        <sz val="10"/>
        <color rgb="FF6B7280"/>
        <rFont val="Noto Sans CJK SC"/>
        <family val="2"/>
      </rPr>
      <t xml:space="preserve">월</t>
    </r>
    <r>
      <rPr>
        <sz val="10"/>
        <color rgb="FF6B7280"/>
        <rFont val="맑은 고딕"/>
        <family val="0"/>
        <charset val="1"/>
      </rPr>
      <t xml:space="preserve">, </t>
    </r>
    <r>
      <rPr>
        <sz val="10"/>
        <color rgb="FF6B7280"/>
        <rFont val="Noto Sans CJK SC"/>
        <family val="2"/>
      </rPr>
      <t xml:space="preserve">자산관리</t>
    </r>
    <r>
      <rPr>
        <sz val="10"/>
        <color rgb="FF6B7280"/>
        <rFont val="맑은 고딕"/>
        <family val="0"/>
        <charset val="1"/>
      </rPr>
      <t xml:space="preserve">)</t>
    </r>
    <r>
      <rPr>
        <sz val="10"/>
        <color rgb="FF6B7280"/>
        <rFont val="Noto Sans CJK SC"/>
        <family val="2"/>
      </rPr>
      <t xml:space="preserve">과 </t>
    </r>
    <r>
      <rPr>
        <sz val="10"/>
        <color rgb="FF6B7280"/>
        <rFont val="맑은 고딕"/>
        <family val="0"/>
        <charset val="1"/>
      </rPr>
      <t xml:space="preserve">'</t>
    </r>
    <r>
      <rPr>
        <sz val="10"/>
        <color rgb="FF6B7280"/>
        <rFont val="Noto Sans CJK SC"/>
        <family val="2"/>
      </rPr>
      <t xml:space="preserve">구분</t>
    </r>
    <r>
      <rPr>
        <sz val="10"/>
        <color rgb="FF6B7280"/>
        <rFont val="맑은 고딕"/>
        <family val="0"/>
        <charset val="1"/>
      </rPr>
      <t xml:space="preserve">'/'</t>
    </r>
    <r>
      <rPr>
        <sz val="10"/>
        <color rgb="FF6B7280"/>
        <rFont val="Noto Sans CJK SC"/>
        <family val="2"/>
      </rPr>
      <t xml:space="preserve">대분류</t>
    </r>
    <r>
      <rPr>
        <sz val="10"/>
        <color rgb="FF6B7280"/>
        <rFont val="맑은 고딕"/>
        <family val="0"/>
        <charset val="1"/>
      </rPr>
      <t xml:space="preserve">' </t>
    </r>
    <r>
      <rPr>
        <sz val="10"/>
        <color rgb="FF6B7280"/>
        <rFont val="Noto Sans CJK SC"/>
        <family val="2"/>
      </rPr>
      <t xml:space="preserve">머리글을 기준으로 읽습니다</t>
    </r>
    <r>
      <rPr>
        <sz val="10"/>
        <color rgb="FF6B7280"/>
        <rFont val="맑은 고딕"/>
        <family val="0"/>
        <charset val="1"/>
      </rPr>
      <t xml:space="preserve">. </t>
    </r>
    <r>
      <rPr>
        <sz val="10"/>
        <color rgb="FF6B7280"/>
        <rFont val="Noto Sans CJK SC"/>
        <family val="2"/>
      </rPr>
      <t xml:space="preserve">이름은 바꾸지 마세요</t>
    </r>
    <r>
      <rPr>
        <sz val="10"/>
        <color rgb="FF6B728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</si>
</sst>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-#,##0;\-"/>
    <numFmt numFmtId="166" formatCode="0.0%;\-0.0%;\-"/>
    <numFmt numFmtId="167" formatCode="#,##0"/>
    <numFmt numFmtId="168" formatCode="0%"/>
    <numFmt numFmtId="169" formatCode="0\월;;\-"/>
    <numFmt numFmtId="170" formatCode="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맑은 고딕"/>
      <family val="0"/>
      <charset val="1"/>
    </font>
    <font>
      <sz val="9"/>
      <color rgb="FF6B7280"/>
      <name val="Noto Sans CJK SC"/>
      <family val="2"/>
      <charset val="1"/>
    </font>
    <font>
      <b val="true"/>
      <sz val="10"/>
      <color rgb="FF1F2937"/>
      <name val="Noto Sans CJK SC"/>
      <family val="2"/>
      <charset val="1"/>
    </font>
    <font>
      <sz val="10"/>
      <color rgb="FF1F2937"/>
      <name val="맑은 고딕"/>
      <family val="0"/>
      <charset val="1"/>
    </font>
    <font>
      <sz val="10"/>
      <color rgb="FF1F2937"/>
      <name val="Noto Sans CJK SC"/>
      <family val="2"/>
    </font>
    <font>
      <sz val="10"/>
      <color rgb="FF008000"/>
      <name val="맑은 고딕"/>
      <family val="0"/>
      <charset val="1"/>
    </font>
    <font>
      <b val="true"/>
      <sz val="10"/>
      <color rgb="FF008000"/>
      <name val="맑은 고딕"/>
      <family val="0"/>
      <charset val="1"/>
    </font>
    <font>
      <b val="true"/>
      <sz val="10"/>
      <color rgb="FF1F2937"/>
      <name val="맑은 고딕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2"/>
      <color rgb="FF1F2937"/>
      <name val="맑은 고딕"/>
      <family val="0"/>
      <charset val="1"/>
    </font>
    <font>
      <b val="true"/>
      <sz val="12"/>
      <color rgb="FF1F2937"/>
      <name val="Noto Sans CJK SC"/>
      <family val="2"/>
    </font>
    <font>
      <b val="true"/>
      <sz val="10"/>
      <color rgb="FF2563EB"/>
      <name val="맑은 고딕"/>
      <family val="0"/>
      <charset val="1"/>
    </font>
    <font>
      <b val="true"/>
      <sz val="10"/>
      <color rgb="FF1F2937"/>
      <name val="Noto Sans CJK SC"/>
      <family val="2"/>
    </font>
    <font>
      <sz val="9"/>
      <color rgb="FFD97706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1F2937"/>
      <name val="Noto Sans CJK SC"/>
      <family val="2"/>
      <charset val="1"/>
    </font>
    <font>
      <sz val="10"/>
      <color rgb="FF2563EB"/>
      <name val="맑은 고딕"/>
      <family val="0"/>
      <charset val="1"/>
    </font>
    <font>
      <b val="true"/>
      <sz val="9"/>
      <color rgb="FF6B7280"/>
      <name val="Noto Sans CJK SC"/>
      <family val="2"/>
      <charset val="1"/>
    </font>
    <font>
      <sz val="9"/>
      <color rgb="FF6B7280"/>
      <name val="맑은 고딕"/>
      <family val="0"/>
      <charset val="1"/>
    </font>
    <font>
      <b val="true"/>
      <sz val="16"/>
      <color rgb="FF1F2937"/>
      <name val="Noto Sans CJK SC"/>
      <family val="2"/>
      <charset val="1"/>
    </font>
    <font>
      <sz val="9"/>
      <color rgb="FF6B7280"/>
      <name val="Noto Sans CJK SC"/>
      <family val="2"/>
    </font>
    <font>
      <b val="true"/>
      <sz val="12"/>
      <color rgb="FF1F2937"/>
      <name val="Noto Sans CJK SC"/>
      <family val="2"/>
      <charset val="1"/>
    </font>
    <font>
      <sz val="10"/>
      <color rgb="FF6B7280"/>
      <name val="맑은 고딕"/>
      <family val="0"/>
      <charset val="1"/>
    </font>
    <font>
      <sz val="10"/>
      <color rgb="FF6B7280"/>
      <name val="Noto Sans CJK SC"/>
      <family val="2"/>
    </font>
    <font>
      <sz val="10"/>
      <color rgb="FF6B7280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FFFBEB"/>
      </patternFill>
    </fill>
    <fill>
      <patternFill patternType="solid">
        <fgColor rgb="FFFFFBEB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B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8064A2"/>
      <rgbColor rgb="FFBE4B48"/>
      <rgbColor rgb="FFF3F4F6"/>
      <rgbColor rgb="FFE5E7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4BACC6"/>
      <rgbColor rgb="FF98B855"/>
      <rgbColor rgb="FFFFCC00"/>
      <rgbColor rgb="FFFF9900"/>
      <rgbColor rgb="FFD97706"/>
      <rgbColor rgb="FF6B7280"/>
      <rgbColor rgb="FF9BBB59"/>
      <rgbColor rgb="FF003366"/>
      <rgbColor rgb="FF4A7EBB"/>
      <rgbColor rgb="FF003300"/>
      <rgbColor rgb="FF333300"/>
      <rgbColor rgb="FF993300"/>
      <rgbColor rgb="FFC0504D"/>
      <rgbColor rgb="FF7D5FA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수입 · 지출 · 저축 합계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월별추이!B4</c:f>
              <c:strCache>
                <c:ptCount val="1"/>
                <c:pt idx="0">
                  <c:v>총 수입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월별추이!$B$5:$B$16</c:f>
              <c:numCache>
                <c:formatCode>#,##0;\-#,##0;\-</c:formatCode>
                <c:ptCount val="12"/>
                <c:pt idx="0">
                  <c:v>7150000</c:v>
                </c:pt>
                <c:pt idx="1">
                  <c:v>9650000</c:v>
                </c:pt>
                <c:pt idx="2">
                  <c:v>7150000</c:v>
                </c:pt>
                <c:pt idx="3">
                  <c:v>7650000</c:v>
                </c:pt>
                <c:pt idx="4">
                  <c:v>7650000</c:v>
                </c:pt>
                <c:pt idx="5">
                  <c:v>7150000</c:v>
                </c:pt>
                <c:pt idx="6">
                  <c:v>7650000</c:v>
                </c:pt>
                <c:pt idx="7">
                  <c:v>7150000</c:v>
                </c:pt>
                <c:pt idx="8">
                  <c:v>9350000</c:v>
                </c:pt>
                <c:pt idx="9">
                  <c:v>7150000</c:v>
                </c:pt>
                <c:pt idx="10">
                  <c:v>7650000</c:v>
                </c:pt>
                <c:pt idx="11">
                  <c:v>7650000</c:v>
                </c:pt>
              </c:numCache>
            </c:numRef>
          </c:val>
        </c:ser>
        <c:ser>
          <c:idx val="1"/>
          <c:order val="1"/>
          <c:tx>
            <c:strRef>
              <c:f>월별추이!C4</c:f>
              <c:strCache>
                <c:ptCount val="1"/>
                <c:pt idx="0">
                  <c:v>총 지출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월별추이!$C$5:$C$16</c:f>
              <c:numCache>
                <c:formatCode>#,##0;\-#,##0;\-</c:formatCode>
                <c:ptCount val="12"/>
                <c:pt idx="0">
                  <c:v>4130000</c:v>
                </c:pt>
                <c:pt idx="1">
                  <c:v>4320000</c:v>
                </c:pt>
                <c:pt idx="2">
                  <c:v>4400000</c:v>
                </c:pt>
                <c:pt idx="3">
                  <c:v>4340000</c:v>
                </c:pt>
                <c:pt idx="4">
                  <c:v>4220000</c:v>
                </c:pt>
                <c:pt idx="5">
                  <c:v>4390000</c:v>
                </c:pt>
                <c:pt idx="6">
                  <c:v>4310000</c:v>
                </c:pt>
                <c:pt idx="7">
                  <c:v>4150000</c:v>
                </c:pt>
                <c:pt idx="8">
                  <c:v>4910000</c:v>
                </c:pt>
                <c:pt idx="9">
                  <c:v>4460000</c:v>
                </c:pt>
                <c:pt idx="10">
                  <c:v>4310000</c:v>
                </c:pt>
                <c:pt idx="11">
                  <c:v>4500000</c:v>
                </c:pt>
              </c:numCache>
            </c:numRef>
          </c:val>
        </c:ser>
        <c:ser>
          <c:idx val="2"/>
          <c:order val="2"/>
          <c:tx>
            <c:strRef>
              <c:f>월별추이!H4</c:f>
              <c:strCache>
                <c:ptCount val="1"/>
                <c:pt idx="0">
                  <c:v>저축 합계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월별추이!$H$5:$H$16</c:f>
              <c:numCache>
                <c:formatCode>#,##0;\-#,##0;\-</c:formatCode>
                <c:ptCount val="12"/>
                <c:pt idx="0">
                  <c:v>3020000</c:v>
                </c:pt>
                <c:pt idx="1">
                  <c:v>6530000</c:v>
                </c:pt>
                <c:pt idx="2">
                  <c:v>3950000</c:v>
                </c:pt>
                <c:pt idx="3">
                  <c:v>4510000</c:v>
                </c:pt>
                <c:pt idx="4">
                  <c:v>4630000</c:v>
                </c:pt>
                <c:pt idx="5">
                  <c:v>3950000</c:v>
                </c:pt>
                <c:pt idx="6">
                  <c:v>4550000</c:v>
                </c:pt>
                <c:pt idx="7">
                  <c:v>4200000</c:v>
                </c:pt>
                <c:pt idx="8">
                  <c:v>5640000</c:v>
                </c:pt>
                <c:pt idx="9">
                  <c:v>3890000</c:v>
                </c:pt>
                <c:pt idx="10">
                  <c:v>4540000</c:v>
                </c:pt>
                <c:pt idx="11">
                  <c:v>4350000</c:v>
                </c:pt>
              </c:numCache>
            </c:numRef>
          </c:val>
        </c:ser>
        <c:gapWidth val="150"/>
        <c:overlap val="0"/>
        <c:axId val="42651130"/>
        <c:axId val="21964756"/>
      </c:barChart>
      <c:lineChart>
        <c:grouping val="standard"/>
        <c:varyColors val="0"/>
        <c:ser>
          <c:idx val="3"/>
          <c:order val="3"/>
          <c:tx>
            <c:strRef>
              <c:f>월별추이!I4</c:f>
              <c:strCache>
                <c:ptCount val="1"/>
                <c:pt idx="0">
                  <c:v>저축률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월별추이!$I$5:$I$16</c:f>
              <c:numCache>
                <c:formatCode>0.0%;\-0.0%;\-</c:formatCode>
                <c:ptCount val="12"/>
                <c:pt idx="0">
                  <c:v>0.422377622377622</c:v>
                </c:pt>
                <c:pt idx="1">
                  <c:v>0.676683937823834</c:v>
                </c:pt>
                <c:pt idx="2">
                  <c:v>0.552447552447552</c:v>
                </c:pt>
                <c:pt idx="3">
                  <c:v>0.589542483660131</c:v>
                </c:pt>
                <c:pt idx="4">
                  <c:v>0.605228758169935</c:v>
                </c:pt>
                <c:pt idx="5">
                  <c:v>0.552447552447552</c:v>
                </c:pt>
                <c:pt idx="6">
                  <c:v>0.594771241830065</c:v>
                </c:pt>
                <c:pt idx="7">
                  <c:v>0.587412587412587</c:v>
                </c:pt>
                <c:pt idx="8">
                  <c:v>0.603208556149733</c:v>
                </c:pt>
                <c:pt idx="9">
                  <c:v>0.544055944055944</c:v>
                </c:pt>
                <c:pt idx="10">
                  <c:v>0.593464052287582</c:v>
                </c:pt>
                <c:pt idx="11">
                  <c:v>0.568627450980392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864479"/>
        <c:axId val="69354532"/>
      </c:lineChart>
      <c:catAx>
        <c:axId val="426511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64756"/>
        <c:crosses val="autoZero"/>
        <c:auto val="1"/>
        <c:lblAlgn val="ctr"/>
        <c:lblOffset val="100"/>
        <c:noMultiLvlLbl val="0"/>
      </c:catAx>
      <c:valAx>
        <c:axId val="21964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51130"/>
        <c:crosses val="autoZero"/>
        <c:crossBetween val="between"/>
      </c:valAx>
      <c:catAx>
        <c:axId val="97864479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54532"/>
        <c:crosses val="autoZero"/>
        <c:auto val="1"/>
        <c:lblAlgn val="ctr"/>
        <c:lblOffset val="100"/>
        <c:noMultiLvlLbl val="0"/>
      </c:catAx>
      <c:valAx>
        <c:axId val="6935453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저축률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6447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저축 구성 (일반 · 대출상환)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월별추이!F4</c:f>
              <c:strCache>
                <c:ptCount val="1"/>
                <c:pt idx="0">
                  <c:v>일반 저축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월별추이!$F$5:$F$16</c:f>
              <c:numCache>
                <c:formatCode>#,##0;\-#,##0;\-</c:formatCode>
                <c:ptCount val="12"/>
                <c:pt idx="0">
                  <c:v>3020000</c:v>
                </c:pt>
                <c:pt idx="1">
                  <c:v>5330000</c:v>
                </c:pt>
                <c:pt idx="2">
                  <c:v>2750000</c:v>
                </c:pt>
                <c:pt idx="3">
                  <c:v>3310000</c:v>
                </c:pt>
                <c:pt idx="4">
                  <c:v>3430000</c:v>
                </c:pt>
                <c:pt idx="5">
                  <c:v>2760000</c:v>
                </c:pt>
                <c:pt idx="6">
                  <c:v>3340000</c:v>
                </c:pt>
                <c:pt idx="7">
                  <c:v>3000000</c:v>
                </c:pt>
                <c:pt idx="8">
                  <c:v>4440000</c:v>
                </c:pt>
                <c:pt idx="9">
                  <c:v>2690000</c:v>
                </c:pt>
                <c:pt idx="10">
                  <c:v>3340000</c:v>
                </c:pt>
                <c:pt idx="11">
                  <c:v>3150000</c:v>
                </c:pt>
              </c:numCache>
            </c:numRef>
          </c:val>
        </c:ser>
        <c:ser>
          <c:idx val="1"/>
          <c:order val="1"/>
          <c:tx>
            <c:strRef>
              <c:f>월별추이!G4</c:f>
              <c:strCache>
                <c:ptCount val="1"/>
                <c:pt idx="0">
                  <c:v>대출상환 저축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월별추이!$G$5:$G$16</c:f>
              <c:numCache>
                <c:formatCode>#,##0;\-#,##0;\-</c:formatCode>
                <c:ptCount val="12"/>
                <c:pt idx="0">
                  <c:v>0</c:v>
                </c:pt>
                <c:pt idx="1">
                  <c:v>1200000</c:v>
                </c:pt>
                <c:pt idx="2">
                  <c:v>1200000</c:v>
                </c:pt>
                <c:pt idx="3">
                  <c:v>1200000</c:v>
                </c:pt>
                <c:pt idx="4">
                  <c:v>1200000</c:v>
                </c:pt>
                <c:pt idx="5">
                  <c:v>1190000</c:v>
                </c:pt>
                <c:pt idx="6">
                  <c:v>1210000</c:v>
                </c:pt>
                <c:pt idx="7">
                  <c:v>1200000</c:v>
                </c:pt>
                <c:pt idx="8">
                  <c:v>1200000</c:v>
                </c:pt>
                <c:pt idx="9">
                  <c:v>1200000</c:v>
                </c:pt>
                <c:pt idx="10">
                  <c:v>1200000</c:v>
                </c:pt>
                <c:pt idx="11">
                  <c:v>1200000</c:v>
                </c:pt>
              </c:numCache>
            </c:numRef>
          </c:val>
        </c:ser>
        <c:gapWidth val="150"/>
        <c:overlap val="100"/>
        <c:axId val="21881361"/>
        <c:axId val="58109562"/>
      </c:barChart>
      <c:catAx>
        <c:axId val="218813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09562"/>
        <c:crosses val="autoZero"/>
        <c:auto val="1"/>
        <c:lblAlgn val="ctr"/>
        <c:lblOffset val="100"/>
        <c:noMultiLvlLbl val="0"/>
      </c:catAx>
      <c:valAx>
        <c:axId val="581095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81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누적 저축 (일반 · 대출상환 · 합계)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월별추이!J4</c:f>
              <c:strCache>
                <c:ptCount val="1"/>
                <c:pt idx="0">
                  <c:v>누적 일반 저축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월별추이!$J$5:$J$16</c:f>
              <c:numCache>
                <c:formatCode>#,##0;\-#,##0;\-</c:formatCode>
                <c:ptCount val="12"/>
                <c:pt idx="0">
                  <c:v>3020000</c:v>
                </c:pt>
                <c:pt idx="1">
                  <c:v>8350000</c:v>
                </c:pt>
                <c:pt idx="2">
                  <c:v>11100000</c:v>
                </c:pt>
                <c:pt idx="3">
                  <c:v>14410000</c:v>
                </c:pt>
                <c:pt idx="4">
                  <c:v>17840000</c:v>
                </c:pt>
                <c:pt idx="5">
                  <c:v>20600000</c:v>
                </c:pt>
                <c:pt idx="6">
                  <c:v>23940000</c:v>
                </c:pt>
                <c:pt idx="7">
                  <c:v>26940000</c:v>
                </c:pt>
                <c:pt idx="8">
                  <c:v>31380000</c:v>
                </c:pt>
                <c:pt idx="9">
                  <c:v>34070000</c:v>
                </c:pt>
                <c:pt idx="10">
                  <c:v>37410000</c:v>
                </c:pt>
                <c:pt idx="11">
                  <c:v>40560000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월별추이!K4</c:f>
              <c:strCache>
                <c:ptCount val="1"/>
                <c:pt idx="0">
                  <c:v>누적 대출상환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월별추이!$K$5:$K$16</c:f>
              <c:numCache>
                <c:formatCode>#,##0;\-#,##0;\-</c:formatCode>
                <c:ptCount val="12"/>
                <c:pt idx="0">
                  <c:v>0</c:v>
                </c:pt>
                <c:pt idx="1">
                  <c:v>1200000</c:v>
                </c:pt>
                <c:pt idx="2">
                  <c:v>2400000</c:v>
                </c:pt>
                <c:pt idx="3">
                  <c:v>3600000</c:v>
                </c:pt>
                <c:pt idx="4">
                  <c:v>4800000</c:v>
                </c:pt>
                <c:pt idx="5">
                  <c:v>5990000</c:v>
                </c:pt>
                <c:pt idx="6">
                  <c:v>7200000</c:v>
                </c:pt>
                <c:pt idx="7">
                  <c:v>8400000</c:v>
                </c:pt>
                <c:pt idx="8">
                  <c:v>9600000</c:v>
                </c:pt>
                <c:pt idx="9">
                  <c:v>10800000</c:v>
                </c:pt>
                <c:pt idx="10">
                  <c:v>12000000</c:v>
                </c:pt>
                <c:pt idx="11">
                  <c:v>13200000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월별추이!L4</c:f>
              <c:strCache>
                <c:ptCount val="1"/>
                <c:pt idx="0">
                  <c:v>누적 저축 합계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월별추이!$A$5:$A$16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월별추이!$L$5:$L$16</c:f>
              <c:numCache>
                <c:formatCode>#,##0;\-#,##0;\-</c:formatCode>
                <c:ptCount val="12"/>
                <c:pt idx="0">
                  <c:v>3020000</c:v>
                </c:pt>
                <c:pt idx="1">
                  <c:v>9550000</c:v>
                </c:pt>
                <c:pt idx="2">
                  <c:v>13500000</c:v>
                </c:pt>
                <c:pt idx="3">
                  <c:v>18010000</c:v>
                </c:pt>
                <c:pt idx="4">
                  <c:v>22640000</c:v>
                </c:pt>
                <c:pt idx="5">
                  <c:v>26590000</c:v>
                </c:pt>
                <c:pt idx="6">
                  <c:v>31140000</c:v>
                </c:pt>
                <c:pt idx="7">
                  <c:v>35340000</c:v>
                </c:pt>
                <c:pt idx="8">
                  <c:v>40980000</c:v>
                </c:pt>
                <c:pt idx="9">
                  <c:v>44870000</c:v>
                </c:pt>
                <c:pt idx="10">
                  <c:v>49410000</c:v>
                </c:pt>
                <c:pt idx="11">
                  <c:v>53760000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023318"/>
        <c:axId val="64324123"/>
      </c:lineChart>
      <c:catAx>
        <c:axId val="230233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24123"/>
        <c:crosses val="autoZero"/>
        <c:auto val="1"/>
        <c:lblAlgn val="ctr"/>
        <c:lblOffset val="100"/>
        <c:noMultiLvlLbl val="0"/>
      </c:catAx>
      <c:valAx>
        <c:axId val="643241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233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총자산 · 순자산 · 부채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"총자산"</c:f>
              <c:strCache>
                <c:ptCount val="1"/>
                <c:pt idx="0">
                  <c:v>총자산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자산관리!$D$28:$O$28</c:f>
              <c:numCache>
                <c:formatCode>#,##0;\-#,##0;\-</c:formatCode>
                <c:ptCount val="12"/>
                <c:pt idx="0">
                  <c:v>780730000</c:v>
                </c:pt>
                <c:pt idx="1">
                  <c:v>788900000</c:v>
                </c:pt>
                <c:pt idx="2">
                  <c:v>798960000</c:v>
                </c:pt>
                <c:pt idx="3">
                  <c:v>805510000</c:v>
                </c:pt>
                <c:pt idx="4">
                  <c:v>816400000</c:v>
                </c:pt>
                <c:pt idx="5">
                  <c:v>824110000</c:v>
                </c:pt>
                <c:pt idx="6">
                  <c:v>831520000</c:v>
                </c:pt>
                <c:pt idx="7">
                  <c:v>841190000</c:v>
                </c:pt>
                <c:pt idx="8">
                  <c:v>846280000</c:v>
                </c:pt>
                <c:pt idx="9">
                  <c:v>857090000</c:v>
                </c:pt>
                <c:pt idx="10">
                  <c:v>863900000</c:v>
                </c:pt>
                <c:pt idx="11">
                  <c:v>872010000</c:v>
                </c:pt>
              </c:numCache>
            </c:numRef>
          </c:val>
        </c:ser>
        <c:ser>
          <c:idx val="1"/>
          <c:order val="1"/>
          <c:tx>
            <c:strRef>
              <c:f>"순자산"</c:f>
              <c:strCache>
                <c:ptCount val="1"/>
                <c:pt idx="0">
                  <c:v>순자산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자산관리!$D$30:$O$30</c:f>
              <c:numCache>
                <c:formatCode>#,##0;\-#,##0;\-</c:formatCode>
                <c:ptCount val="12"/>
                <c:pt idx="0">
                  <c:v>446330000</c:v>
                </c:pt>
                <c:pt idx="1">
                  <c:v>455700000</c:v>
                </c:pt>
                <c:pt idx="2">
                  <c:v>466960000</c:v>
                </c:pt>
                <c:pt idx="3">
                  <c:v>474710000</c:v>
                </c:pt>
                <c:pt idx="4">
                  <c:v>486800000</c:v>
                </c:pt>
                <c:pt idx="5">
                  <c:v>495700000</c:v>
                </c:pt>
                <c:pt idx="6">
                  <c:v>504320000</c:v>
                </c:pt>
                <c:pt idx="7">
                  <c:v>515190000</c:v>
                </c:pt>
                <c:pt idx="8">
                  <c:v>521480000</c:v>
                </c:pt>
                <c:pt idx="9">
                  <c:v>533490000</c:v>
                </c:pt>
                <c:pt idx="10">
                  <c:v>541500000</c:v>
                </c:pt>
                <c:pt idx="11">
                  <c:v>550810000</c:v>
                </c:pt>
              </c:numCache>
            </c:numRef>
          </c:val>
        </c:ser>
        <c:ser>
          <c:idx val="2"/>
          <c:order val="2"/>
          <c:tx>
            <c:strRef>
              <c:f>"부채"</c:f>
              <c:strCache>
                <c:ptCount val="1"/>
                <c:pt idx="0">
                  <c:v>부채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자산관리!$D$29:$O$29</c:f>
              <c:numCache>
                <c:formatCode>#,##0;\-#,##0;\-</c:formatCode>
                <c:ptCount val="12"/>
                <c:pt idx="0">
                  <c:v>334400000</c:v>
                </c:pt>
                <c:pt idx="1">
                  <c:v>333200000</c:v>
                </c:pt>
                <c:pt idx="2">
                  <c:v>332000000</c:v>
                </c:pt>
                <c:pt idx="3">
                  <c:v>330800000</c:v>
                </c:pt>
                <c:pt idx="4">
                  <c:v>329600000</c:v>
                </c:pt>
                <c:pt idx="5">
                  <c:v>328410000</c:v>
                </c:pt>
                <c:pt idx="6">
                  <c:v>327200000</c:v>
                </c:pt>
                <c:pt idx="7">
                  <c:v>326000000</c:v>
                </c:pt>
                <c:pt idx="8">
                  <c:v>324800000</c:v>
                </c:pt>
                <c:pt idx="9">
                  <c:v>323600000</c:v>
                </c:pt>
                <c:pt idx="10">
                  <c:v>322400000</c:v>
                </c:pt>
                <c:pt idx="11">
                  <c:v>321200000</c:v>
                </c:pt>
              </c:numCache>
            </c:numRef>
          </c:val>
        </c:ser>
        <c:gapWidth val="150"/>
        <c:overlap val="0"/>
        <c:axId val="32227870"/>
        <c:axId val="52306175"/>
      </c:barChart>
      <c:catAx>
        <c:axId val="322278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06175"/>
        <c:crosses val="autoZero"/>
        <c:auto val="1"/>
        <c:lblAlgn val="ctr"/>
        <c:lblOffset val="100"/>
        <c:noMultiLvlLbl val="0"/>
      </c:catAx>
      <c:valAx>
        <c:axId val="523061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278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자산 구성 변화 (중분류)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"저축"</c:f>
              <c:strCache>
                <c:ptCount val="1"/>
                <c:pt idx="0">
                  <c:v>저축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자산관리!$D$43:$O$43</c:f>
              <c:numCache>
                <c:formatCode>#,##0;\-#,##0;\-</c:formatCode>
                <c:ptCount val="12"/>
                <c:pt idx="0">
                  <c:v>15070000</c:v>
                </c:pt>
                <c:pt idx="1">
                  <c:v>15510000</c:v>
                </c:pt>
                <c:pt idx="2">
                  <c:v>16360000</c:v>
                </c:pt>
                <c:pt idx="3">
                  <c:v>16620000</c:v>
                </c:pt>
                <c:pt idx="4">
                  <c:v>17180000</c:v>
                </c:pt>
                <c:pt idx="5">
                  <c:v>17330000</c:v>
                </c:pt>
                <c:pt idx="6">
                  <c:v>17950000</c:v>
                </c:pt>
                <c:pt idx="7">
                  <c:v>18620000</c:v>
                </c:pt>
                <c:pt idx="8">
                  <c:v>18920000</c:v>
                </c:pt>
                <c:pt idx="9">
                  <c:v>19410000</c:v>
                </c:pt>
                <c:pt idx="10">
                  <c:v>19770000</c:v>
                </c:pt>
                <c:pt idx="11">
                  <c:v>20410000</c:v>
                </c:pt>
              </c:numCache>
            </c:numRef>
          </c:val>
        </c:ser>
        <c:ser>
          <c:idx val="1"/>
          <c:order val="1"/>
          <c:tx>
            <c:strRef>
              <c:f>"투자"</c:f>
              <c:strCache>
                <c:ptCount val="1"/>
                <c:pt idx="0">
                  <c:v>투자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자산관리!$D$44:$O$44</c:f>
              <c:numCache>
                <c:formatCode>#,##0;\-#,##0;\-</c:formatCode>
                <c:ptCount val="12"/>
                <c:pt idx="0">
                  <c:v>88430000</c:v>
                </c:pt>
                <c:pt idx="1">
                  <c:v>90630000</c:v>
                </c:pt>
                <c:pt idx="2">
                  <c:v>95680000</c:v>
                </c:pt>
                <c:pt idx="3">
                  <c:v>96690000</c:v>
                </c:pt>
                <c:pt idx="4">
                  <c:v>100940000</c:v>
                </c:pt>
                <c:pt idx="5">
                  <c:v>103040000</c:v>
                </c:pt>
                <c:pt idx="6">
                  <c:v>106020000</c:v>
                </c:pt>
                <c:pt idx="7">
                  <c:v>109290000</c:v>
                </c:pt>
                <c:pt idx="8">
                  <c:v>109260000</c:v>
                </c:pt>
                <c:pt idx="9">
                  <c:v>113890000</c:v>
                </c:pt>
                <c:pt idx="10">
                  <c:v>115310000</c:v>
                </c:pt>
                <c:pt idx="11">
                  <c:v>117480000</c:v>
                </c:pt>
              </c:numCache>
            </c:numRef>
          </c:val>
        </c:ser>
        <c:ser>
          <c:idx val="2"/>
          <c:order val="2"/>
          <c:tx>
            <c:strRef>
              <c:f>"부동산"</c:f>
              <c:strCache>
                <c:ptCount val="1"/>
                <c:pt idx="0">
                  <c:v>부동산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자산관리!$D$45:$O$45</c:f>
              <c:numCache>
                <c:formatCode>#,##0;\-#,##0;\-</c:formatCode>
                <c:ptCount val="12"/>
                <c:pt idx="0">
                  <c:v>614250000</c:v>
                </c:pt>
                <c:pt idx="1">
                  <c:v>617500000</c:v>
                </c:pt>
                <c:pt idx="2">
                  <c:v>620750000</c:v>
                </c:pt>
                <c:pt idx="3">
                  <c:v>624000000</c:v>
                </c:pt>
                <c:pt idx="4">
                  <c:v>627250000</c:v>
                </c:pt>
                <c:pt idx="5">
                  <c:v>630500000</c:v>
                </c:pt>
                <c:pt idx="6">
                  <c:v>633750000</c:v>
                </c:pt>
                <c:pt idx="7">
                  <c:v>637000000</c:v>
                </c:pt>
                <c:pt idx="8">
                  <c:v>640250000</c:v>
                </c:pt>
                <c:pt idx="9">
                  <c:v>643500000</c:v>
                </c:pt>
                <c:pt idx="10">
                  <c:v>646750000</c:v>
                </c:pt>
                <c:pt idx="11">
                  <c:v>650000000</c:v>
                </c:pt>
              </c:numCache>
            </c:numRef>
          </c:val>
        </c:ser>
        <c:ser>
          <c:idx val="3"/>
          <c:order val="3"/>
          <c:tx>
            <c:strRef>
              <c:f>"퇴직금"</c:f>
              <c:strCache>
                <c:ptCount val="1"/>
                <c:pt idx="0">
                  <c:v>퇴직금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자산관리!$D$46:$O$46</c:f>
              <c:numCache>
                <c:formatCode>#,##0;\-#,##0;\-</c:formatCode>
                <c:ptCount val="12"/>
                <c:pt idx="0">
                  <c:v>48320000</c:v>
                </c:pt>
                <c:pt idx="1">
                  <c:v>49800000</c:v>
                </c:pt>
                <c:pt idx="2">
                  <c:v>50580000</c:v>
                </c:pt>
                <c:pt idx="3">
                  <c:v>51910000</c:v>
                </c:pt>
                <c:pt idx="4">
                  <c:v>54420000</c:v>
                </c:pt>
                <c:pt idx="5">
                  <c:v>56010000</c:v>
                </c:pt>
                <c:pt idx="6">
                  <c:v>56210000</c:v>
                </c:pt>
                <c:pt idx="7">
                  <c:v>58170000</c:v>
                </c:pt>
                <c:pt idx="8">
                  <c:v>59650000</c:v>
                </c:pt>
                <c:pt idx="9">
                  <c:v>61460000</c:v>
                </c:pt>
                <c:pt idx="10">
                  <c:v>62650000</c:v>
                </c:pt>
                <c:pt idx="11">
                  <c:v>64550000</c:v>
                </c:pt>
              </c:numCache>
            </c:numRef>
          </c:val>
        </c:ser>
        <c:ser>
          <c:idx val="4"/>
          <c:order val="4"/>
          <c:tx>
            <c:strRef>
              <c:f>"청약"</c:f>
              <c:strCache>
                <c:ptCount val="1"/>
                <c:pt idx="0">
                  <c:v>청약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자산관리!$D$8:$O$8</c:f>
              <c:multiLvlStrCache>
                <c:ptCount val="1"/>
                <c:lvl>
                  <c:pt idx="0">
                    <c:v>12월</c:v>
                  </c:pt>
                </c:lvl>
                <c:lvl>
                  <c:pt idx="0">
                    <c:v>11월</c:v>
                  </c:pt>
                </c:lvl>
                <c:lvl>
                  <c:pt idx="0">
                    <c:v>10월</c:v>
                  </c:pt>
                </c:lvl>
                <c:lvl>
                  <c:pt idx="0">
                    <c:v>9월</c:v>
                  </c:pt>
                </c:lvl>
                <c:lvl>
                  <c:pt idx="0">
                    <c:v>8월</c:v>
                  </c:pt>
                </c:lvl>
                <c:lvl>
                  <c:pt idx="0">
                    <c:v>7월</c:v>
                  </c:pt>
                </c:lvl>
                <c:lvl>
                  <c:pt idx="0">
                    <c:v>6월</c:v>
                  </c:pt>
                </c:lvl>
                <c:lvl>
                  <c:pt idx="0">
                    <c:v>5월</c:v>
                  </c:pt>
                </c:lvl>
                <c:lvl>
                  <c:pt idx="0">
                    <c:v>4월</c:v>
                  </c:pt>
                </c:lvl>
                <c:lvl>
                  <c:pt idx="0">
                    <c:v>3월</c:v>
                  </c:pt>
                </c:lvl>
                <c:lvl>
                  <c:pt idx="0">
                    <c:v>2월</c:v>
                  </c:pt>
                </c:lvl>
                <c:lvl>
                  <c:pt idx="0">
                    <c:v>1월</c:v>
                  </c:pt>
                </c:lvl>
              </c:multiLvlStrCache>
            </c:multiLvlStrRef>
          </c:cat>
          <c:val>
            <c:numRef>
              <c:f>자산관리!$D$47:$O$47</c:f>
              <c:numCache>
                <c:formatCode>#,##0;\-#,##0;\-</c:formatCode>
                <c:ptCount val="12"/>
                <c:pt idx="0">
                  <c:v>14660000</c:v>
                </c:pt>
                <c:pt idx="1">
                  <c:v>15460000</c:v>
                </c:pt>
                <c:pt idx="2">
                  <c:v>15590000</c:v>
                </c:pt>
                <c:pt idx="3">
                  <c:v>16290000</c:v>
                </c:pt>
                <c:pt idx="4">
                  <c:v>16610000</c:v>
                </c:pt>
                <c:pt idx="5">
                  <c:v>17230000</c:v>
                </c:pt>
                <c:pt idx="6">
                  <c:v>17590000</c:v>
                </c:pt>
                <c:pt idx="7">
                  <c:v>18110000</c:v>
                </c:pt>
                <c:pt idx="8">
                  <c:v>18200000</c:v>
                </c:pt>
                <c:pt idx="9">
                  <c:v>18830000</c:v>
                </c:pt>
                <c:pt idx="10">
                  <c:v>19420000</c:v>
                </c:pt>
                <c:pt idx="11">
                  <c:v>19570000</c:v>
                </c:pt>
              </c:numCache>
            </c:numRef>
          </c:val>
        </c:ser>
        <c:gapWidth val="150"/>
        <c:overlap val="100"/>
        <c:axId val="38663296"/>
        <c:axId val="58104314"/>
      </c:barChart>
      <c:catAx>
        <c:axId val="38663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04314"/>
        <c:crosses val="autoZero"/>
        <c:auto val="1"/>
        <c:lblAlgn val="ctr"/>
        <c:lblOffset val="100"/>
        <c:noMultiLvlLbl val="0"/>
      </c:catAx>
      <c:valAx>
        <c:axId val="58104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632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1월!$E$5:$E$7</c:f>
              <c:numCache>
                <c:formatCode>#,##0;\-#,##0;\-</c:formatCode>
                <c:ptCount val="3"/>
                <c:pt idx="0">
                  <c:v>2170000</c:v>
                </c:pt>
                <c:pt idx="1">
                  <c:v>1960000</c:v>
                </c:pt>
                <c:pt idx="2">
                  <c:v>3020000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1월!$E$9:$E$10</c:f>
              <c:numCache>
                <c:formatCode>#,##0;\-#,##0;\-</c:formatCode>
                <c:ptCount val="2"/>
                <c:pt idx="0">
                  <c:v>3020000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2월!$D$5:$D$7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2월!$E$5:$E$7</c:f>
              <c:numCache>
                <c:formatCode>#,##0;\-#,##0;\-</c:formatCode>
                <c:ptCount val="3"/>
                <c:pt idx="0">
                  <c:v>2180000</c:v>
                </c:pt>
                <c:pt idx="1">
                  <c:v>2140000</c:v>
                </c:pt>
                <c:pt idx="2">
                  <c:v>5330000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2월!$D$9:$D$10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2월!$E$9:$E$10</c:f>
              <c:numCache>
                <c:formatCode>#,##0;\-#,##0;\-</c:formatCode>
                <c:ptCount val="2"/>
                <c:pt idx="0">
                  <c:v>5330000</c:v>
                </c:pt>
                <c:pt idx="1">
                  <c:v>1200000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3월!$D$5:$D$7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3월!$E$5:$E$7</c:f>
              <c:numCache>
                <c:formatCode>#,##0;\-#,##0;\-</c:formatCode>
                <c:ptCount val="3"/>
                <c:pt idx="0">
                  <c:v>2240000</c:v>
                </c:pt>
                <c:pt idx="1">
                  <c:v>2160000</c:v>
                </c:pt>
                <c:pt idx="2">
                  <c:v>2750000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3월!$D$9:$D$10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3월!$E$9:$E$10</c:f>
              <c:numCache>
                <c:formatCode>#,##0;\-#,##0;\-</c:formatCode>
                <c:ptCount val="2"/>
                <c:pt idx="0">
                  <c:v>2750000</c:v>
                </c:pt>
                <c:pt idx="1">
                  <c:v>1200000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4월!$D$5:$D$7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4월!$E$5:$E$7</c:f>
              <c:numCache>
                <c:formatCode>#,##0;\-#,##0;\-</c:formatCode>
                <c:ptCount val="3"/>
                <c:pt idx="0">
                  <c:v>2190000</c:v>
                </c:pt>
                <c:pt idx="1">
                  <c:v>2150000</c:v>
                </c:pt>
                <c:pt idx="2">
                  <c:v>3310000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4월!$D$9:$D$10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4월!$E$9:$E$10</c:f>
              <c:numCache>
                <c:formatCode>#,##0;\-#,##0;\-</c:formatCode>
                <c:ptCount val="2"/>
                <c:pt idx="0">
                  <c:v>3310000</c:v>
                </c:pt>
                <c:pt idx="1">
                  <c:v>1200000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5월!$D$5:$D$7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5월!$E$5:$E$7</c:f>
              <c:numCache>
                <c:formatCode>#,##0;\-#,##0;\-</c:formatCode>
                <c:ptCount val="3"/>
                <c:pt idx="0">
                  <c:v>2260000</c:v>
                </c:pt>
                <c:pt idx="1">
                  <c:v>1960000</c:v>
                </c:pt>
                <c:pt idx="2">
                  <c:v>3430000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5월!$D$9:$D$10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5월!$E$9:$E$10</c:f>
              <c:numCache>
                <c:formatCode>#,##0;\-#,##0;\-</c:formatCode>
                <c:ptCount val="2"/>
                <c:pt idx="0">
                  <c:v>3430000</c:v>
                </c:pt>
                <c:pt idx="1">
                  <c:v>1200000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6월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6월!$D$5:$D$7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6월!$E$5:$E$7</c:f>
              <c:numCache>
                <c:formatCode>#,##0;\-#,##0;\-</c:formatCode>
                <c:ptCount val="3"/>
                <c:pt idx="0">
                  <c:v>2290000</c:v>
                </c:pt>
                <c:pt idx="1">
                  <c:v>2100000</c:v>
                </c:pt>
                <c:pt idx="2">
                  <c:v>2760000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6월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6월!$D$9:$D$10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6월!$E$9:$E$10</c:f>
              <c:numCache>
                <c:formatCode>#,##0;\-#,##0;\-</c:formatCode>
                <c:ptCount val="2"/>
                <c:pt idx="0">
                  <c:v>2760000</c:v>
                </c:pt>
                <c:pt idx="1">
                  <c:v>1190000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7월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7월!$D$5:$D$7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7월!$E$5:$E$7</c:f>
              <c:numCache>
                <c:formatCode>#,##0;\-#,##0;\-</c:formatCode>
                <c:ptCount val="3"/>
                <c:pt idx="0">
                  <c:v>2180000</c:v>
                </c:pt>
                <c:pt idx="1">
                  <c:v>2130000</c:v>
                </c:pt>
                <c:pt idx="2">
                  <c:v>3340000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7월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7월!$D$9:$D$10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7월!$E$9:$E$10</c:f>
              <c:numCache>
                <c:formatCode>#,##0;\-#,##0;\-</c:formatCode>
                <c:ptCount val="2"/>
                <c:pt idx="0">
                  <c:v>3340000</c:v>
                </c:pt>
                <c:pt idx="1">
                  <c:v>1210000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8월!$D$5:$D$7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8월!$E$5:$E$7</c:f>
              <c:numCache>
                <c:formatCode>#,##0;\-#,##0;\-</c:formatCode>
                <c:ptCount val="3"/>
                <c:pt idx="0">
                  <c:v>2280000</c:v>
                </c:pt>
                <c:pt idx="1">
                  <c:v>1870000</c:v>
                </c:pt>
                <c:pt idx="2">
                  <c:v>3000000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8월!$D$9:$D$10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8월!$E$9:$E$10</c:f>
              <c:numCache>
                <c:formatCode>#,##0;\-#,##0;\-</c:formatCode>
                <c:ptCount val="2"/>
                <c:pt idx="0">
                  <c:v>3000000</c:v>
                </c:pt>
                <c:pt idx="1">
                  <c:v>1200000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9월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9월!$D$5:$D$7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9월!$E$5:$E$7</c:f>
              <c:numCache>
                <c:formatCode>#,##0;\-#,##0;\-</c:formatCode>
                <c:ptCount val="3"/>
                <c:pt idx="0">
                  <c:v>2250000</c:v>
                </c:pt>
                <c:pt idx="1">
                  <c:v>2660000</c:v>
                </c:pt>
                <c:pt idx="2">
                  <c:v>4440000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9월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9월!$D$9:$D$10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9월!$E$9:$E$10</c:f>
              <c:numCache>
                <c:formatCode>#,##0;\-#,##0;\-</c:formatCode>
                <c:ptCount val="2"/>
                <c:pt idx="0">
                  <c:v>4440000</c:v>
                </c:pt>
                <c:pt idx="1">
                  <c:v>1200000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10월!$D$5:$D$7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10월!$E$5:$E$7</c:f>
              <c:numCache>
                <c:formatCode>#,##0;\-#,##0;\-</c:formatCode>
                <c:ptCount val="3"/>
                <c:pt idx="0">
                  <c:v>2290000</c:v>
                </c:pt>
                <c:pt idx="1">
                  <c:v>2170000</c:v>
                </c:pt>
                <c:pt idx="2">
                  <c:v>2690000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10월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10월!$D$9:$D$10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10월!$E$9:$E$10</c:f>
              <c:numCache>
                <c:formatCode>#,##0;\-#,##0;\-</c:formatCode>
                <c:ptCount val="2"/>
                <c:pt idx="0">
                  <c:v>2690000</c:v>
                </c:pt>
                <c:pt idx="1">
                  <c:v>1200000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11월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11월!$D$5:$D$7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11월!$E$5:$E$7</c:f>
              <c:numCache>
                <c:formatCode>#,##0;\-#,##0;\-</c:formatCode>
                <c:ptCount val="3"/>
                <c:pt idx="0">
                  <c:v>2230000</c:v>
                </c:pt>
                <c:pt idx="1">
                  <c:v>2080000</c:v>
                </c:pt>
                <c:pt idx="2">
                  <c:v>3340000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11월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11월!$D$9:$D$10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11월!$E$9:$E$10</c:f>
              <c:numCache>
                <c:formatCode>#,##0;\-#,##0;\-</c:formatCode>
                <c:ptCount val="2"/>
                <c:pt idx="0">
                  <c:v>3340000</c:v>
                </c:pt>
                <c:pt idx="1">
                  <c:v>1200000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12월 수입 배분 (지출·저축)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12월!$D$5:$D$7</c:f>
              <c:strCache>
                <c:ptCount val="3"/>
                <c:pt idx="0">
                  <c:v>고정비</c:v>
                </c:pt>
                <c:pt idx="1">
                  <c:v>변동비</c:v>
                </c:pt>
                <c:pt idx="2">
                  <c:v>일반저축</c:v>
                </c:pt>
              </c:strCache>
            </c:strRef>
          </c:cat>
          <c:val>
            <c:numRef>
              <c:f>12월!$E$5:$E$7</c:f>
              <c:numCache>
                <c:formatCode>#,##0;\-#,##0;\-</c:formatCode>
                <c:ptCount val="3"/>
                <c:pt idx="0">
                  <c:v>2230000</c:v>
                </c:pt>
                <c:pt idx="1">
                  <c:v>2270000</c:v>
                </c:pt>
                <c:pt idx="2">
                  <c:v>3150000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12월 저축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;\-#,##0;\-" sourceLinked="1"/>
            <c:dLbl>
              <c:idx val="0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-#,##0;\-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12월!$D$9:$D$10</c:f>
              <c:strCache>
                <c:ptCount val="2"/>
                <c:pt idx="0">
                  <c:v>일반 저축</c:v>
                </c:pt>
                <c:pt idx="1">
                  <c:v>대출상환 저축</c:v>
                </c:pt>
              </c:strCache>
            </c:strRef>
          </c:cat>
          <c:val>
            <c:numRef>
              <c:f>12월!$E$9:$E$10</c:f>
              <c:numCache>
                <c:formatCode>#,##0;\-#,##0;\-</c:formatCode>
                <c:ptCount val="2"/>
                <c:pt idx="0">
                  <c:v>3150000</c:v>
                </c:pt>
                <c:pt idx="1">
                  <c:v>1200000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78120</xdr:rowOff>
    </xdr:from>
    <xdr:to>
      <xdr:col>25</xdr:col>
      <xdr:colOff>581040</xdr:colOff>
      <xdr:row>19</xdr:row>
      <xdr:rowOff>79200</xdr:rowOff>
    </xdr:to>
    <xdr:graphicFrame>
      <xdr:nvGraphicFramePr>
        <xdr:cNvPr id="0" name="Chart 1"/>
        <xdr:cNvGraphicFramePr/>
      </xdr:nvGraphicFramePr>
      <xdr:xfrm>
        <a:off x="12312000" y="563760"/>
        <a:ext cx="791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21</xdr:row>
      <xdr:rowOff>78120</xdr:rowOff>
    </xdr:from>
    <xdr:to>
      <xdr:col>25</xdr:col>
      <xdr:colOff>581040</xdr:colOff>
      <xdr:row>38</xdr:row>
      <xdr:rowOff>78840</xdr:rowOff>
    </xdr:to>
    <xdr:graphicFrame>
      <xdr:nvGraphicFramePr>
        <xdr:cNvPr id="1" name="Chart 2"/>
        <xdr:cNvGraphicFramePr/>
      </xdr:nvGraphicFramePr>
      <xdr:xfrm>
        <a:off x="12312000" y="4183560"/>
        <a:ext cx="791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40</xdr:row>
      <xdr:rowOff>78120</xdr:rowOff>
    </xdr:from>
    <xdr:to>
      <xdr:col>25</xdr:col>
      <xdr:colOff>581040</xdr:colOff>
      <xdr:row>57</xdr:row>
      <xdr:rowOff>78840</xdr:rowOff>
    </xdr:to>
    <xdr:graphicFrame>
      <xdr:nvGraphicFramePr>
        <xdr:cNvPr id="2" name="Chart 3"/>
        <xdr:cNvGraphicFramePr/>
      </xdr:nvGraphicFramePr>
      <xdr:xfrm>
        <a:off x="12312000" y="7803000"/>
        <a:ext cx="79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6</xdr:row>
      <xdr:rowOff>22320</xdr:rowOff>
    </xdr:from>
    <xdr:to>
      <xdr:col>27</xdr:col>
      <xdr:colOff>472680</xdr:colOff>
      <xdr:row>23</xdr:row>
      <xdr:rowOff>23040</xdr:rowOff>
    </xdr:to>
    <xdr:graphicFrame>
      <xdr:nvGraphicFramePr>
        <xdr:cNvPr id="3" name="Chart 1"/>
        <xdr:cNvGraphicFramePr/>
      </xdr:nvGraphicFramePr>
      <xdr:xfrm>
        <a:off x="15977160" y="131760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26</xdr:row>
      <xdr:rowOff>22320</xdr:rowOff>
    </xdr:from>
    <xdr:to>
      <xdr:col>27</xdr:col>
      <xdr:colOff>472680</xdr:colOff>
      <xdr:row>43</xdr:row>
      <xdr:rowOff>23040</xdr:rowOff>
    </xdr:to>
    <xdr:graphicFrame>
      <xdr:nvGraphicFramePr>
        <xdr:cNvPr id="4" name="Chart 2"/>
        <xdr:cNvGraphicFramePr/>
      </xdr:nvGraphicFramePr>
      <xdr:xfrm>
        <a:off x="15977160" y="51278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290160</xdr:colOff>
      <xdr:row>17</xdr:row>
      <xdr:rowOff>100080</xdr:rowOff>
    </xdr:to>
    <xdr:graphicFrame>
      <xdr:nvGraphicFramePr>
        <xdr:cNvPr id="5" name="Chart 1"/>
        <xdr:cNvGraphicFramePr/>
      </xdr:nvGraphicFramePr>
      <xdr:xfrm>
        <a:off x="6273000" y="563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290160</xdr:colOff>
      <xdr:row>34</xdr:row>
      <xdr:rowOff>99720</xdr:rowOff>
    </xdr:to>
    <xdr:graphicFrame>
      <xdr:nvGraphicFramePr>
        <xdr:cNvPr id="6" name="Chart 2"/>
        <xdr:cNvGraphicFramePr/>
      </xdr:nvGraphicFramePr>
      <xdr:xfrm>
        <a:off x="6273000" y="38023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290160</xdr:colOff>
      <xdr:row>17</xdr:row>
      <xdr:rowOff>100080</xdr:rowOff>
    </xdr:to>
    <xdr:graphicFrame>
      <xdr:nvGraphicFramePr>
        <xdr:cNvPr id="7" name="Chart 1"/>
        <xdr:cNvGraphicFramePr/>
      </xdr:nvGraphicFramePr>
      <xdr:xfrm>
        <a:off x="6273000" y="563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290160</xdr:colOff>
      <xdr:row>34</xdr:row>
      <xdr:rowOff>99720</xdr:rowOff>
    </xdr:to>
    <xdr:graphicFrame>
      <xdr:nvGraphicFramePr>
        <xdr:cNvPr id="8" name="Chart 2"/>
        <xdr:cNvGraphicFramePr/>
      </xdr:nvGraphicFramePr>
      <xdr:xfrm>
        <a:off x="6273000" y="38023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290160</xdr:colOff>
      <xdr:row>17</xdr:row>
      <xdr:rowOff>100080</xdr:rowOff>
    </xdr:to>
    <xdr:graphicFrame>
      <xdr:nvGraphicFramePr>
        <xdr:cNvPr id="9" name="Chart 1"/>
        <xdr:cNvGraphicFramePr/>
      </xdr:nvGraphicFramePr>
      <xdr:xfrm>
        <a:off x="6273000" y="563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290160</xdr:colOff>
      <xdr:row>34</xdr:row>
      <xdr:rowOff>99720</xdr:rowOff>
    </xdr:to>
    <xdr:graphicFrame>
      <xdr:nvGraphicFramePr>
        <xdr:cNvPr id="10" name="Chart 2"/>
        <xdr:cNvGraphicFramePr/>
      </xdr:nvGraphicFramePr>
      <xdr:xfrm>
        <a:off x="6273000" y="38023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290160</xdr:colOff>
      <xdr:row>17</xdr:row>
      <xdr:rowOff>100080</xdr:rowOff>
    </xdr:to>
    <xdr:graphicFrame>
      <xdr:nvGraphicFramePr>
        <xdr:cNvPr id="11" name="Chart 1"/>
        <xdr:cNvGraphicFramePr/>
      </xdr:nvGraphicFramePr>
      <xdr:xfrm>
        <a:off x="6273000" y="563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290160</xdr:colOff>
      <xdr:row>34</xdr:row>
      <xdr:rowOff>99720</xdr:rowOff>
    </xdr:to>
    <xdr:graphicFrame>
      <xdr:nvGraphicFramePr>
        <xdr:cNvPr id="12" name="Chart 2"/>
        <xdr:cNvGraphicFramePr/>
      </xdr:nvGraphicFramePr>
      <xdr:xfrm>
        <a:off x="6273000" y="38023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290160</xdr:colOff>
      <xdr:row>17</xdr:row>
      <xdr:rowOff>100080</xdr:rowOff>
    </xdr:to>
    <xdr:graphicFrame>
      <xdr:nvGraphicFramePr>
        <xdr:cNvPr id="13" name="Chart 1"/>
        <xdr:cNvGraphicFramePr/>
      </xdr:nvGraphicFramePr>
      <xdr:xfrm>
        <a:off x="6273000" y="563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290160</xdr:colOff>
      <xdr:row>34</xdr:row>
      <xdr:rowOff>99720</xdr:rowOff>
    </xdr:to>
    <xdr:graphicFrame>
      <xdr:nvGraphicFramePr>
        <xdr:cNvPr id="14" name="Chart 2"/>
        <xdr:cNvGraphicFramePr/>
      </xdr:nvGraphicFramePr>
      <xdr:xfrm>
        <a:off x="6273000" y="38023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290160</xdr:colOff>
      <xdr:row>17</xdr:row>
      <xdr:rowOff>100080</xdr:rowOff>
    </xdr:to>
    <xdr:graphicFrame>
      <xdr:nvGraphicFramePr>
        <xdr:cNvPr id="15" name="Chart 1"/>
        <xdr:cNvGraphicFramePr/>
      </xdr:nvGraphicFramePr>
      <xdr:xfrm>
        <a:off x="6273000" y="563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290160</xdr:colOff>
      <xdr:row>34</xdr:row>
      <xdr:rowOff>99720</xdr:rowOff>
    </xdr:to>
    <xdr:graphicFrame>
      <xdr:nvGraphicFramePr>
        <xdr:cNvPr id="16" name="Chart 2"/>
        <xdr:cNvGraphicFramePr/>
      </xdr:nvGraphicFramePr>
      <xdr:xfrm>
        <a:off x="6273000" y="38023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290160</xdr:colOff>
      <xdr:row>17</xdr:row>
      <xdr:rowOff>100080</xdr:rowOff>
    </xdr:to>
    <xdr:graphicFrame>
      <xdr:nvGraphicFramePr>
        <xdr:cNvPr id="17" name="Chart 1"/>
        <xdr:cNvGraphicFramePr/>
      </xdr:nvGraphicFramePr>
      <xdr:xfrm>
        <a:off x="6273000" y="563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290160</xdr:colOff>
      <xdr:row>34</xdr:row>
      <xdr:rowOff>99720</xdr:rowOff>
    </xdr:to>
    <xdr:graphicFrame>
      <xdr:nvGraphicFramePr>
        <xdr:cNvPr id="18" name="Chart 2"/>
        <xdr:cNvGraphicFramePr/>
      </xdr:nvGraphicFramePr>
      <xdr:xfrm>
        <a:off x="6273000" y="38023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290160</xdr:colOff>
      <xdr:row>17</xdr:row>
      <xdr:rowOff>100080</xdr:rowOff>
    </xdr:to>
    <xdr:graphicFrame>
      <xdr:nvGraphicFramePr>
        <xdr:cNvPr id="19" name="Chart 1"/>
        <xdr:cNvGraphicFramePr/>
      </xdr:nvGraphicFramePr>
      <xdr:xfrm>
        <a:off x="6273000" y="563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290160</xdr:colOff>
      <xdr:row>34</xdr:row>
      <xdr:rowOff>99720</xdr:rowOff>
    </xdr:to>
    <xdr:graphicFrame>
      <xdr:nvGraphicFramePr>
        <xdr:cNvPr id="20" name="Chart 2"/>
        <xdr:cNvGraphicFramePr/>
      </xdr:nvGraphicFramePr>
      <xdr:xfrm>
        <a:off x="6273000" y="38023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290160</xdr:colOff>
      <xdr:row>17</xdr:row>
      <xdr:rowOff>100080</xdr:rowOff>
    </xdr:to>
    <xdr:graphicFrame>
      <xdr:nvGraphicFramePr>
        <xdr:cNvPr id="21" name="Chart 1"/>
        <xdr:cNvGraphicFramePr/>
      </xdr:nvGraphicFramePr>
      <xdr:xfrm>
        <a:off x="6273000" y="563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290160</xdr:colOff>
      <xdr:row>34</xdr:row>
      <xdr:rowOff>99720</xdr:rowOff>
    </xdr:to>
    <xdr:graphicFrame>
      <xdr:nvGraphicFramePr>
        <xdr:cNvPr id="22" name="Chart 2"/>
        <xdr:cNvGraphicFramePr/>
      </xdr:nvGraphicFramePr>
      <xdr:xfrm>
        <a:off x="6273000" y="38023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290160</xdr:colOff>
      <xdr:row>17</xdr:row>
      <xdr:rowOff>100080</xdr:rowOff>
    </xdr:to>
    <xdr:graphicFrame>
      <xdr:nvGraphicFramePr>
        <xdr:cNvPr id="23" name="Chart 1"/>
        <xdr:cNvGraphicFramePr/>
      </xdr:nvGraphicFramePr>
      <xdr:xfrm>
        <a:off x="6273000" y="563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290160</xdr:colOff>
      <xdr:row>34</xdr:row>
      <xdr:rowOff>99720</xdr:rowOff>
    </xdr:to>
    <xdr:graphicFrame>
      <xdr:nvGraphicFramePr>
        <xdr:cNvPr id="24" name="Chart 2"/>
        <xdr:cNvGraphicFramePr/>
      </xdr:nvGraphicFramePr>
      <xdr:xfrm>
        <a:off x="6273000" y="38023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290160</xdr:colOff>
      <xdr:row>17</xdr:row>
      <xdr:rowOff>100080</xdr:rowOff>
    </xdr:to>
    <xdr:graphicFrame>
      <xdr:nvGraphicFramePr>
        <xdr:cNvPr id="25" name="Chart 1"/>
        <xdr:cNvGraphicFramePr/>
      </xdr:nvGraphicFramePr>
      <xdr:xfrm>
        <a:off x="6273000" y="563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290160</xdr:colOff>
      <xdr:row>34</xdr:row>
      <xdr:rowOff>99720</xdr:rowOff>
    </xdr:to>
    <xdr:graphicFrame>
      <xdr:nvGraphicFramePr>
        <xdr:cNvPr id="26" name="Chart 2"/>
        <xdr:cNvGraphicFramePr/>
      </xdr:nvGraphicFramePr>
      <xdr:xfrm>
        <a:off x="6273000" y="38023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78120</xdr:rowOff>
    </xdr:from>
    <xdr:to>
      <xdr:col>12</xdr:col>
      <xdr:colOff>290160</xdr:colOff>
      <xdr:row>17</xdr:row>
      <xdr:rowOff>100080</xdr:rowOff>
    </xdr:to>
    <xdr:graphicFrame>
      <xdr:nvGraphicFramePr>
        <xdr:cNvPr id="27" name="Chart 1"/>
        <xdr:cNvGraphicFramePr/>
      </xdr:nvGraphicFramePr>
      <xdr:xfrm>
        <a:off x="6273000" y="563760"/>
        <a:ext cx="395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78120</xdr:rowOff>
    </xdr:from>
    <xdr:to>
      <xdr:col>12</xdr:col>
      <xdr:colOff>290160</xdr:colOff>
      <xdr:row>34</xdr:row>
      <xdr:rowOff>99720</xdr:rowOff>
    </xdr:to>
    <xdr:graphicFrame>
      <xdr:nvGraphicFramePr>
        <xdr:cNvPr id="28" name="Chart 2"/>
        <xdr:cNvGraphicFramePr/>
      </xdr:nvGraphicFramePr>
      <xdr:xfrm>
        <a:off x="6273000" y="38023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5" min="4" style="1" width="13"/>
    <col collapsed="false" customWidth="true" hidden="false" outlineLevel="0" max="7" min="6" style="1" width="14"/>
    <col collapsed="false" customWidth="true" hidden="false" outlineLevel="0" max="8" min="8" style="1" width="15"/>
    <col collapsed="false" customWidth="true" hidden="false" outlineLevel="0" max="9" min="9" style="1" width="9"/>
    <col collapsed="false" customWidth="true" hidden="false" outlineLevel="0" max="11" min="10" style="1" width="15"/>
    <col collapsed="false" customWidth="true" hidden="false" outlineLevel="0" max="12" min="12" style="1" width="16"/>
  </cols>
  <sheetData>
    <row r="1" customFormat="false" ht="23.25" hidden="false" customHeight="true" outlineLevel="0" collapsed="false">
      <c r="A1" s="2" t="str">
        <f aca="false">설정!$B$4&amp;"년 월별 수입·지출·저축 추이"</f>
        <v>2025년 월별 수입·지출·저축 추이</v>
      </c>
    </row>
    <row r="2" customFormat="false" ht="15" hidden="false" customHeight="true" outlineLevel="0" collapsed="false">
      <c r="A2" s="3" t="s">
        <v>0</v>
      </c>
    </row>
    <row r="4" customFormat="false" ht="15" hidden="false" customHeight="true" outlineLevel="0" collapsed="false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customFormat="false" ht="15" hidden="false" customHeight="true" outlineLevel="0" collapsed="false">
      <c r="A5" s="5" t="s">
        <v>13</v>
      </c>
      <c r="B5" s="6" t="n">
        <f aca="false">1월!$B$5</f>
        <v>7150000</v>
      </c>
      <c r="C5" s="6" t="n">
        <f aca="false">1월!$B$6</f>
        <v>4130000</v>
      </c>
      <c r="D5" s="6" t="n">
        <f aca="false">1월!$B$7</f>
        <v>2170000</v>
      </c>
      <c r="E5" s="6" t="n">
        <f aca="false">1월!$B$8</f>
        <v>1960000</v>
      </c>
      <c r="F5" s="6" t="n">
        <f aca="false">1월!$B$10</f>
        <v>3020000</v>
      </c>
      <c r="G5" s="6" t="n">
        <f aca="false">1월!$B$11</f>
        <v>0</v>
      </c>
      <c r="H5" s="7" t="n">
        <f aca="false">1월!$B$9</f>
        <v>3020000</v>
      </c>
      <c r="I5" s="8" t="n">
        <f aca="false">IF(B5=0,0,H5/B5)</f>
        <v>0.422377622377622</v>
      </c>
      <c r="J5" s="9" t="n">
        <f aca="false">SUM($F$5:F5)</f>
        <v>3020000</v>
      </c>
      <c r="K5" s="9" t="n">
        <f aca="false">SUM($G$5:G5)</f>
        <v>0</v>
      </c>
      <c r="L5" s="10" t="n">
        <f aca="false">SUM($H$5:H5)</f>
        <v>3020000</v>
      </c>
    </row>
    <row r="6" customFormat="false" ht="15" hidden="false" customHeight="true" outlineLevel="0" collapsed="false">
      <c r="A6" s="5" t="s">
        <v>14</v>
      </c>
      <c r="B6" s="6" t="n">
        <f aca="false">2월!$B$5</f>
        <v>9650000</v>
      </c>
      <c r="C6" s="6" t="n">
        <f aca="false">2월!$B$6</f>
        <v>4320000</v>
      </c>
      <c r="D6" s="6" t="n">
        <f aca="false">2월!$B$7</f>
        <v>2180000</v>
      </c>
      <c r="E6" s="6" t="n">
        <f aca="false">2월!$B$8</f>
        <v>2140000</v>
      </c>
      <c r="F6" s="6" t="n">
        <f aca="false">2월!$B$10</f>
        <v>5330000</v>
      </c>
      <c r="G6" s="6" t="n">
        <f aca="false">2월!$B$11</f>
        <v>1200000</v>
      </c>
      <c r="H6" s="7" t="n">
        <f aca="false">2월!$B$9</f>
        <v>6530000</v>
      </c>
      <c r="I6" s="8" t="n">
        <f aca="false">IF(B6=0,0,H6/B6)</f>
        <v>0.676683937823834</v>
      </c>
      <c r="J6" s="9" t="n">
        <f aca="false">SUM($F$5:F6)</f>
        <v>8350000</v>
      </c>
      <c r="K6" s="9" t="n">
        <f aca="false">SUM($G$5:G6)</f>
        <v>1200000</v>
      </c>
      <c r="L6" s="10" t="n">
        <f aca="false">SUM($H$5:H6)</f>
        <v>9550000</v>
      </c>
    </row>
    <row r="7" customFormat="false" ht="15" hidden="false" customHeight="true" outlineLevel="0" collapsed="false">
      <c r="A7" s="5" t="s">
        <v>15</v>
      </c>
      <c r="B7" s="6" t="n">
        <f aca="false">3월!$B$5</f>
        <v>7150000</v>
      </c>
      <c r="C7" s="6" t="n">
        <f aca="false">3월!$B$6</f>
        <v>4400000</v>
      </c>
      <c r="D7" s="6" t="n">
        <f aca="false">3월!$B$7</f>
        <v>2240000</v>
      </c>
      <c r="E7" s="6" t="n">
        <f aca="false">3월!$B$8</f>
        <v>2160000</v>
      </c>
      <c r="F7" s="6" t="n">
        <f aca="false">3월!$B$10</f>
        <v>2750000</v>
      </c>
      <c r="G7" s="6" t="n">
        <f aca="false">3월!$B$11</f>
        <v>1200000</v>
      </c>
      <c r="H7" s="7" t="n">
        <f aca="false">3월!$B$9</f>
        <v>3950000</v>
      </c>
      <c r="I7" s="8" t="n">
        <f aca="false">IF(B7=0,0,H7/B7)</f>
        <v>0.552447552447552</v>
      </c>
      <c r="J7" s="9" t="n">
        <f aca="false">SUM($F$5:F7)</f>
        <v>11100000</v>
      </c>
      <c r="K7" s="9" t="n">
        <f aca="false">SUM($G$5:G7)</f>
        <v>2400000</v>
      </c>
      <c r="L7" s="10" t="n">
        <f aca="false">SUM($H$5:H7)</f>
        <v>13500000</v>
      </c>
    </row>
    <row r="8" customFormat="false" ht="15" hidden="false" customHeight="true" outlineLevel="0" collapsed="false">
      <c r="A8" s="5" t="s">
        <v>16</v>
      </c>
      <c r="B8" s="6" t="n">
        <f aca="false">4월!$B$5</f>
        <v>7650000</v>
      </c>
      <c r="C8" s="6" t="n">
        <f aca="false">4월!$B$6</f>
        <v>4340000</v>
      </c>
      <c r="D8" s="6" t="n">
        <f aca="false">4월!$B$7</f>
        <v>2190000</v>
      </c>
      <c r="E8" s="6" t="n">
        <f aca="false">4월!$B$8</f>
        <v>2150000</v>
      </c>
      <c r="F8" s="6" t="n">
        <f aca="false">4월!$B$10</f>
        <v>3310000</v>
      </c>
      <c r="G8" s="6" t="n">
        <f aca="false">4월!$B$11</f>
        <v>1200000</v>
      </c>
      <c r="H8" s="7" t="n">
        <f aca="false">4월!$B$9</f>
        <v>4510000</v>
      </c>
      <c r="I8" s="8" t="n">
        <f aca="false">IF(B8=0,0,H8/B8)</f>
        <v>0.589542483660131</v>
      </c>
      <c r="J8" s="9" t="n">
        <f aca="false">SUM($F$5:F8)</f>
        <v>14410000</v>
      </c>
      <c r="K8" s="9" t="n">
        <f aca="false">SUM($G$5:G8)</f>
        <v>3600000</v>
      </c>
      <c r="L8" s="10" t="n">
        <f aca="false">SUM($H$5:H8)</f>
        <v>18010000</v>
      </c>
    </row>
    <row r="9" customFormat="false" ht="15" hidden="false" customHeight="true" outlineLevel="0" collapsed="false">
      <c r="A9" s="5" t="s">
        <v>17</v>
      </c>
      <c r="B9" s="6" t="n">
        <f aca="false">5월!$B$5</f>
        <v>7650000</v>
      </c>
      <c r="C9" s="6" t="n">
        <f aca="false">5월!$B$6</f>
        <v>4220000</v>
      </c>
      <c r="D9" s="6" t="n">
        <f aca="false">5월!$B$7</f>
        <v>2260000</v>
      </c>
      <c r="E9" s="6" t="n">
        <f aca="false">5월!$B$8</f>
        <v>1960000</v>
      </c>
      <c r="F9" s="6" t="n">
        <f aca="false">5월!$B$10</f>
        <v>3430000</v>
      </c>
      <c r="G9" s="6" t="n">
        <f aca="false">5월!$B$11</f>
        <v>1200000</v>
      </c>
      <c r="H9" s="7" t="n">
        <f aca="false">5월!$B$9</f>
        <v>4630000</v>
      </c>
      <c r="I9" s="8" t="n">
        <f aca="false">IF(B9=0,0,H9/B9)</f>
        <v>0.605228758169935</v>
      </c>
      <c r="J9" s="9" t="n">
        <f aca="false">SUM($F$5:F9)</f>
        <v>17840000</v>
      </c>
      <c r="K9" s="9" t="n">
        <f aca="false">SUM($G$5:G9)</f>
        <v>4800000</v>
      </c>
      <c r="L9" s="10" t="n">
        <f aca="false">SUM($H$5:H9)</f>
        <v>22640000</v>
      </c>
    </row>
    <row r="10" customFormat="false" ht="15" hidden="false" customHeight="true" outlineLevel="0" collapsed="false">
      <c r="A10" s="5" t="s">
        <v>18</v>
      </c>
      <c r="B10" s="6" t="n">
        <f aca="false">6월!$B$5</f>
        <v>7150000</v>
      </c>
      <c r="C10" s="6" t="n">
        <f aca="false">6월!$B$6</f>
        <v>4390000</v>
      </c>
      <c r="D10" s="6" t="n">
        <f aca="false">6월!$B$7</f>
        <v>2290000</v>
      </c>
      <c r="E10" s="6" t="n">
        <f aca="false">6월!$B$8</f>
        <v>2100000</v>
      </c>
      <c r="F10" s="6" t="n">
        <f aca="false">6월!$B$10</f>
        <v>2760000</v>
      </c>
      <c r="G10" s="6" t="n">
        <f aca="false">6월!$B$11</f>
        <v>1190000</v>
      </c>
      <c r="H10" s="7" t="n">
        <f aca="false">6월!$B$9</f>
        <v>3950000</v>
      </c>
      <c r="I10" s="8" t="n">
        <f aca="false">IF(B10=0,0,H10/B10)</f>
        <v>0.552447552447552</v>
      </c>
      <c r="J10" s="9" t="n">
        <f aca="false">SUM($F$5:F10)</f>
        <v>20600000</v>
      </c>
      <c r="K10" s="9" t="n">
        <f aca="false">SUM($G$5:G10)</f>
        <v>5990000</v>
      </c>
      <c r="L10" s="10" t="n">
        <f aca="false">SUM($H$5:H10)</f>
        <v>26590000</v>
      </c>
    </row>
    <row r="11" customFormat="false" ht="15" hidden="false" customHeight="true" outlineLevel="0" collapsed="false">
      <c r="A11" s="5" t="s">
        <v>19</v>
      </c>
      <c r="B11" s="6" t="n">
        <f aca="false">7월!$B$5</f>
        <v>7650000</v>
      </c>
      <c r="C11" s="6" t="n">
        <f aca="false">7월!$B$6</f>
        <v>4310000</v>
      </c>
      <c r="D11" s="6" t="n">
        <f aca="false">7월!$B$7</f>
        <v>2180000</v>
      </c>
      <c r="E11" s="6" t="n">
        <f aca="false">7월!$B$8</f>
        <v>2130000</v>
      </c>
      <c r="F11" s="6" t="n">
        <f aca="false">7월!$B$10</f>
        <v>3340000</v>
      </c>
      <c r="G11" s="6" t="n">
        <f aca="false">7월!$B$11</f>
        <v>1210000</v>
      </c>
      <c r="H11" s="7" t="n">
        <f aca="false">7월!$B$9</f>
        <v>4550000</v>
      </c>
      <c r="I11" s="8" t="n">
        <f aca="false">IF(B11=0,0,H11/B11)</f>
        <v>0.594771241830065</v>
      </c>
      <c r="J11" s="9" t="n">
        <f aca="false">SUM($F$5:F11)</f>
        <v>23940000</v>
      </c>
      <c r="K11" s="9" t="n">
        <f aca="false">SUM($G$5:G11)</f>
        <v>7200000</v>
      </c>
      <c r="L11" s="10" t="n">
        <f aca="false">SUM($H$5:H11)</f>
        <v>31140000</v>
      </c>
    </row>
    <row r="12" customFormat="false" ht="15" hidden="false" customHeight="true" outlineLevel="0" collapsed="false">
      <c r="A12" s="5" t="s">
        <v>20</v>
      </c>
      <c r="B12" s="6" t="n">
        <f aca="false">8월!$B$5</f>
        <v>7150000</v>
      </c>
      <c r="C12" s="6" t="n">
        <f aca="false">8월!$B$6</f>
        <v>4150000</v>
      </c>
      <c r="D12" s="6" t="n">
        <f aca="false">8월!$B$7</f>
        <v>2280000</v>
      </c>
      <c r="E12" s="6" t="n">
        <f aca="false">8월!$B$8</f>
        <v>1870000</v>
      </c>
      <c r="F12" s="6" t="n">
        <f aca="false">8월!$B$10</f>
        <v>3000000</v>
      </c>
      <c r="G12" s="6" t="n">
        <f aca="false">8월!$B$11</f>
        <v>1200000</v>
      </c>
      <c r="H12" s="7" t="n">
        <f aca="false">8월!$B$9</f>
        <v>4200000</v>
      </c>
      <c r="I12" s="8" t="n">
        <f aca="false">IF(B12=0,0,H12/B12)</f>
        <v>0.587412587412587</v>
      </c>
      <c r="J12" s="9" t="n">
        <f aca="false">SUM($F$5:F12)</f>
        <v>26940000</v>
      </c>
      <c r="K12" s="9" t="n">
        <f aca="false">SUM($G$5:G12)</f>
        <v>8400000</v>
      </c>
      <c r="L12" s="10" t="n">
        <f aca="false">SUM($H$5:H12)</f>
        <v>35340000</v>
      </c>
    </row>
    <row r="13" customFormat="false" ht="15" hidden="false" customHeight="true" outlineLevel="0" collapsed="false">
      <c r="A13" s="5" t="s">
        <v>21</v>
      </c>
      <c r="B13" s="6" t="n">
        <f aca="false">9월!$B$5</f>
        <v>9350000</v>
      </c>
      <c r="C13" s="6" t="n">
        <f aca="false">9월!$B$6</f>
        <v>4910000</v>
      </c>
      <c r="D13" s="6" t="n">
        <f aca="false">9월!$B$7</f>
        <v>2250000</v>
      </c>
      <c r="E13" s="6" t="n">
        <f aca="false">9월!$B$8</f>
        <v>2660000</v>
      </c>
      <c r="F13" s="6" t="n">
        <f aca="false">9월!$B$10</f>
        <v>4440000</v>
      </c>
      <c r="G13" s="6" t="n">
        <f aca="false">9월!$B$11</f>
        <v>1200000</v>
      </c>
      <c r="H13" s="7" t="n">
        <f aca="false">9월!$B$9</f>
        <v>5640000</v>
      </c>
      <c r="I13" s="8" t="n">
        <f aca="false">IF(B13=0,0,H13/B13)</f>
        <v>0.603208556149733</v>
      </c>
      <c r="J13" s="9" t="n">
        <f aca="false">SUM($F$5:F13)</f>
        <v>31380000</v>
      </c>
      <c r="K13" s="9" t="n">
        <f aca="false">SUM($G$5:G13)</f>
        <v>9600000</v>
      </c>
      <c r="L13" s="10" t="n">
        <f aca="false">SUM($H$5:H13)</f>
        <v>40980000</v>
      </c>
    </row>
    <row r="14" customFormat="false" ht="15" hidden="false" customHeight="true" outlineLevel="0" collapsed="false">
      <c r="A14" s="5" t="s">
        <v>22</v>
      </c>
      <c r="B14" s="6" t="n">
        <f aca="false">10월!$B$5</f>
        <v>7150000</v>
      </c>
      <c r="C14" s="6" t="n">
        <f aca="false">10월!$B$6</f>
        <v>4460000</v>
      </c>
      <c r="D14" s="6" t="n">
        <f aca="false">10월!$B$7</f>
        <v>2290000</v>
      </c>
      <c r="E14" s="6" t="n">
        <f aca="false">10월!$B$8</f>
        <v>2170000</v>
      </c>
      <c r="F14" s="6" t="n">
        <f aca="false">10월!$B$10</f>
        <v>2690000</v>
      </c>
      <c r="G14" s="6" t="n">
        <f aca="false">10월!$B$11</f>
        <v>1200000</v>
      </c>
      <c r="H14" s="7" t="n">
        <f aca="false">10월!$B$9</f>
        <v>3890000</v>
      </c>
      <c r="I14" s="8" t="n">
        <f aca="false">IF(B14=0,0,H14/B14)</f>
        <v>0.544055944055944</v>
      </c>
      <c r="J14" s="9" t="n">
        <f aca="false">SUM($F$5:F14)</f>
        <v>34070000</v>
      </c>
      <c r="K14" s="9" t="n">
        <f aca="false">SUM($G$5:G14)</f>
        <v>10800000</v>
      </c>
      <c r="L14" s="10" t="n">
        <f aca="false">SUM($H$5:H14)</f>
        <v>44870000</v>
      </c>
    </row>
    <row r="15" customFormat="false" ht="15" hidden="false" customHeight="true" outlineLevel="0" collapsed="false">
      <c r="A15" s="5" t="s">
        <v>23</v>
      </c>
      <c r="B15" s="6" t="n">
        <f aca="false">11월!$B$5</f>
        <v>7650000</v>
      </c>
      <c r="C15" s="6" t="n">
        <f aca="false">11월!$B$6</f>
        <v>4310000</v>
      </c>
      <c r="D15" s="6" t="n">
        <f aca="false">11월!$B$7</f>
        <v>2230000</v>
      </c>
      <c r="E15" s="6" t="n">
        <f aca="false">11월!$B$8</f>
        <v>2080000</v>
      </c>
      <c r="F15" s="6" t="n">
        <f aca="false">11월!$B$10</f>
        <v>3340000</v>
      </c>
      <c r="G15" s="6" t="n">
        <f aca="false">11월!$B$11</f>
        <v>1200000</v>
      </c>
      <c r="H15" s="7" t="n">
        <f aca="false">11월!$B$9</f>
        <v>4540000</v>
      </c>
      <c r="I15" s="8" t="n">
        <f aca="false">IF(B15=0,0,H15/B15)</f>
        <v>0.593464052287582</v>
      </c>
      <c r="J15" s="9" t="n">
        <f aca="false">SUM($F$5:F15)</f>
        <v>37410000</v>
      </c>
      <c r="K15" s="9" t="n">
        <f aca="false">SUM($G$5:G15)</f>
        <v>12000000</v>
      </c>
      <c r="L15" s="10" t="n">
        <f aca="false">SUM($H$5:H15)</f>
        <v>49410000</v>
      </c>
    </row>
    <row r="16" customFormat="false" ht="15" hidden="false" customHeight="true" outlineLevel="0" collapsed="false">
      <c r="A16" s="5" t="s">
        <v>24</v>
      </c>
      <c r="B16" s="6" t="n">
        <f aca="false">12월!$B$5</f>
        <v>7650000</v>
      </c>
      <c r="C16" s="6" t="n">
        <f aca="false">12월!$B$6</f>
        <v>4500000</v>
      </c>
      <c r="D16" s="6" t="n">
        <f aca="false">12월!$B$7</f>
        <v>2230000</v>
      </c>
      <c r="E16" s="6" t="n">
        <f aca="false">12월!$B$8</f>
        <v>2270000</v>
      </c>
      <c r="F16" s="6" t="n">
        <f aca="false">12월!$B$10</f>
        <v>3150000</v>
      </c>
      <c r="G16" s="6" t="n">
        <f aca="false">12월!$B$11</f>
        <v>1200000</v>
      </c>
      <c r="H16" s="7" t="n">
        <f aca="false">12월!$B$9</f>
        <v>4350000</v>
      </c>
      <c r="I16" s="8" t="n">
        <f aca="false">IF(B16=0,0,H16/B16)</f>
        <v>0.568627450980392</v>
      </c>
      <c r="J16" s="9" t="n">
        <f aca="false">SUM($F$5:F16)</f>
        <v>40560000</v>
      </c>
      <c r="K16" s="9" t="n">
        <f aca="false">SUM($G$5:G16)</f>
        <v>13200000</v>
      </c>
      <c r="L16" s="10" t="n">
        <f aca="false">SUM($H$5:H16)</f>
        <v>53760000</v>
      </c>
    </row>
    <row r="17" customFormat="false" ht="15" hidden="false" customHeight="true" outlineLevel="0" collapsed="false">
      <c r="A17" s="11" t="s">
        <v>25</v>
      </c>
      <c r="B17" s="10" t="n">
        <f aca="false">SUM(B5:B16)</f>
        <v>93000000</v>
      </c>
      <c r="C17" s="10" t="n">
        <f aca="false">SUM(C5:C16)</f>
        <v>52440000</v>
      </c>
      <c r="D17" s="10" t="n">
        <f aca="false">SUM(D5:D16)</f>
        <v>26790000</v>
      </c>
      <c r="E17" s="10" t="n">
        <f aca="false">SUM(E5:E16)</f>
        <v>25650000</v>
      </c>
      <c r="F17" s="10" t="n">
        <f aca="false">SUM(F5:F16)</f>
        <v>40560000</v>
      </c>
      <c r="G17" s="10" t="n">
        <f aca="false">SUM(G5:G16)</f>
        <v>13200000</v>
      </c>
      <c r="H17" s="10" t="n">
        <f aca="false">SUM(H5:H16)</f>
        <v>53760000</v>
      </c>
      <c r="I17" s="12" t="n">
        <f aca="false">IF(B17=0,0,H17/B17)</f>
        <v>0.578064516129032</v>
      </c>
      <c r="J17" s="10" t="n">
        <f aca="false">F17</f>
        <v>40560000</v>
      </c>
      <c r="K17" s="10" t="n">
        <f aca="false">G17</f>
        <v>13200000</v>
      </c>
      <c r="L17" s="10" t="n">
        <f aca="false">H17</f>
        <v>53760000</v>
      </c>
    </row>
    <row r="18" customFormat="false" ht="15" hidden="false" customHeight="true" outlineLevel="0" collapsed="false">
      <c r="A18" s="11" t="s">
        <v>26</v>
      </c>
      <c r="B18" s="9" t="n">
        <f aca="false">IFERROR(AVERAGEIF($B$5:$B$16,"&gt;0",B5:B16),0)</f>
        <v>7750000</v>
      </c>
      <c r="C18" s="9" t="n">
        <f aca="false">IFERROR(AVERAGEIF($B$5:$B$16,"&gt;0",C5:C16),0)</f>
        <v>4370000</v>
      </c>
      <c r="D18" s="9" t="n">
        <f aca="false">IFERROR(AVERAGEIF($B$5:$B$16,"&gt;0",D5:D16),0)</f>
        <v>2232500</v>
      </c>
      <c r="E18" s="9" t="n">
        <f aca="false">IFERROR(AVERAGEIF($B$5:$B$16,"&gt;0",E5:E16),0)</f>
        <v>2137500</v>
      </c>
      <c r="F18" s="9" t="n">
        <f aca="false">IFERROR(AVERAGEIF($B$5:$B$16,"&gt;0",F5:F16),0)</f>
        <v>3380000</v>
      </c>
      <c r="G18" s="9" t="n">
        <f aca="false">IFERROR(AVERAGEIF($B$5:$B$16,"&gt;0",G5:G16),0)</f>
        <v>1100000</v>
      </c>
      <c r="H18" s="9" t="n">
        <f aca="false">IFERROR(AVERAGEIF($B$5:$B$16,"&gt;0",H5:H16),0)</f>
        <v>4480000</v>
      </c>
      <c r="I18" s="8" t="n">
        <f aca="false">IF(B18=0,0,H18/B18)</f>
        <v>0.578064516129032</v>
      </c>
      <c r="J18" s="9"/>
      <c r="K18" s="9"/>
      <c r="L18" s="9"/>
    </row>
    <row r="19" customFormat="false" ht="15" hidden="false" customHeight="true" outlineLevel="0" collapsed="false">
      <c r="A19" s="11" t="s">
        <v>27</v>
      </c>
      <c r="F19" s="8" t="n">
        <f aca="false">IF($H$17=0,0,F17/$H$17)</f>
        <v>0.754464285714286</v>
      </c>
      <c r="G19" s="8" t="n">
        <f aca="false">IF($H$17=0,0,G17/$H$17)</f>
        <v>0.245535714285714</v>
      </c>
    </row>
    <row r="20" customFormat="false" ht="15" hidden="false" customHeight="true" outlineLevel="0" collapsed="false">
      <c r="A20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15" min="4" style="1" width="15"/>
  </cols>
  <sheetData>
    <row r="1" customFormat="false" ht="23.25" hidden="false" customHeight="true" outlineLevel="0" collapsed="false">
      <c r="A1" s="2" t="str">
        <f aca="false">설정!$B$4&amp;"년 자산관리"</f>
        <v>2025년 자산관리</v>
      </c>
    </row>
    <row r="2" customFormat="false" ht="15" hidden="false" customHeight="true" outlineLevel="0" collapsed="false">
      <c r="A2" s="3" t="s">
        <v>29</v>
      </c>
    </row>
    <row r="4" customFormat="false" ht="18.75" hidden="false" customHeight="true" outlineLevel="0" collapsed="false">
      <c r="A4" s="13" t="s">
        <v>30</v>
      </c>
      <c r="D4" s="3" t="s">
        <v>31</v>
      </c>
      <c r="E4" s="14" t="n">
        <f aca="true">IF(YEAR(TODAY())&gt;설정!$B$4,12,IF(YEAR(TODAY())&lt;설정!$B$4,0,MONTH(TODAY())))</f>
        <v>12</v>
      </c>
      <c r="F4" s="3" t="s">
        <v>32</v>
      </c>
      <c r="G4" s="14" t="n">
        <f aca="false">SUMPRODUCT(MAX(((($D$28:$O$28&lt;&gt;0)+($D$29:$O$29&lt;&gt;0))&gt;0)*(COLUMN($D$28:$O$28)-COLUMN($D$28)+1)*((COLUMN($D$28:$O$28)-COLUMN($D$28)+1)&lt;=$E$4)))</f>
        <v>12</v>
      </c>
    </row>
    <row r="5" customFormat="false" ht="15" hidden="false" customHeight="true" outlineLevel="0" collapsed="false">
      <c r="A5" s="4" t="s">
        <v>33</v>
      </c>
      <c r="B5" s="4"/>
      <c r="C5" s="4"/>
      <c r="D5" s="15" t="s">
        <v>34</v>
      </c>
      <c r="E5" s="4" t="str">
        <f aca="false">"현재 ("&amp;$G$4&amp;"월)"</f>
        <v>현재 (12월)</v>
      </c>
      <c r="F5" s="4" t="s">
        <v>35</v>
      </c>
      <c r="G5" s="4" t="s">
        <v>36</v>
      </c>
      <c r="H5" s="16" t="str">
        <f aca="false">IF(AND($E$4&gt;0,$G$4&lt;$E$4),$E$4&amp;"월 자산 미입력 → "&amp;$G$4&amp;"월 기준으로 표시","")</f>
        <v/>
      </c>
    </row>
    <row r="6" customFormat="false" ht="15" hidden="false" customHeight="true" outlineLevel="0" collapsed="false">
      <c r="A6" s="11" t="s">
        <v>37</v>
      </c>
      <c r="B6" s="11"/>
      <c r="C6" s="11"/>
      <c r="D6" s="9" t="n">
        <f aca="false">$D$28</f>
        <v>780730000</v>
      </c>
      <c r="E6" s="10" t="n">
        <f aca="false">IF($G$4=0,0,INDEX($D$28:$O$28,$G$4))</f>
        <v>872010000</v>
      </c>
      <c r="F6" s="9" t="n">
        <f aca="false">IF(OR($G$4&lt;2,D6=0),"",E6-D6)</f>
        <v>91280000</v>
      </c>
      <c r="G6" s="17" t="n">
        <f aca="false">IF(OR($G$4&lt;2,D6=0),"",(E6-D6)/ABS(D6))</f>
        <v>0.116916219435656</v>
      </c>
      <c r="H6" s="3" t="s">
        <v>38</v>
      </c>
    </row>
    <row r="7" customFormat="false" ht="15" hidden="false" customHeight="true" outlineLevel="0" collapsed="false">
      <c r="A7" s="11" t="s">
        <v>39</v>
      </c>
      <c r="B7" s="11"/>
      <c r="C7" s="11"/>
      <c r="D7" s="9" t="n">
        <f aca="false">$D$30</f>
        <v>446330000</v>
      </c>
      <c r="E7" s="10" t="n">
        <f aca="false">IF($G$4=0,0,INDEX($D$30:$O$30,$G$4))</f>
        <v>550810000</v>
      </c>
      <c r="F7" s="9" t="n">
        <f aca="false">IF(OR($G$4&lt;2,D7=0),"",E7-D7)</f>
        <v>104480000</v>
      </c>
      <c r="G7" s="17" t="n">
        <f aca="false">IF(OR($G$4&lt;2,D7=0),"",(E7-D7)/ABS(D7))</f>
        <v>0.234086886384514</v>
      </c>
    </row>
    <row r="8" customFormat="false" ht="15" hidden="false" customHeight="true" outlineLevel="0" collapsed="false">
      <c r="A8" s="4" t="s">
        <v>40</v>
      </c>
      <c r="B8" s="4" t="s">
        <v>41</v>
      </c>
      <c r="C8" s="4" t="s">
        <v>42</v>
      </c>
      <c r="D8" s="15" t="s">
        <v>34</v>
      </c>
      <c r="E8" s="15" t="s">
        <v>43</v>
      </c>
      <c r="F8" s="15" t="s">
        <v>44</v>
      </c>
      <c r="G8" s="15" t="s">
        <v>45</v>
      </c>
      <c r="H8" s="15" t="s">
        <v>46</v>
      </c>
      <c r="I8" s="15" t="s">
        <v>47</v>
      </c>
      <c r="J8" s="15" t="s">
        <v>48</v>
      </c>
      <c r="K8" s="15" t="s">
        <v>49</v>
      </c>
      <c r="L8" s="15" t="s">
        <v>50</v>
      </c>
      <c r="M8" s="15" t="s">
        <v>51</v>
      </c>
      <c r="N8" s="15" t="s">
        <v>52</v>
      </c>
      <c r="O8" s="15" t="s">
        <v>53</v>
      </c>
    </row>
    <row r="9" customFormat="false" ht="15" hidden="false" customHeight="true" outlineLevel="0" collapsed="false">
      <c r="A9" s="18" t="s">
        <v>54</v>
      </c>
      <c r="B9" s="18" t="s">
        <v>55</v>
      </c>
      <c r="C9" s="18" t="s">
        <v>56</v>
      </c>
      <c r="D9" s="19" t="n">
        <v>11000000</v>
      </c>
      <c r="E9" s="19" t="n">
        <v>11260000</v>
      </c>
      <c r="F9" s="19" t="n">
        <v>11980000</v>
      </c>
      <c r="G9" s="19" t="n">
        <v>12100000</v>
      </c>
      <c r="H9" s="19" t="n">
        <v>12600000</v>
      </c>
      <c r="I9" s="19" t="n">
        <v>12690000</v>
      </c>
      <c r="J9" s="19" t="n">
        <v>13060000</v>
      </c>
      <c r="K9" s="19" t="n">
        <v>13610000</v>
      </c>
      <c r="L9" s="19" t="n">
        <v>13840000</v>
      </c>
      <c r="M9" s="19" t="n">
        <v>14210000</v>
      </c>
      <c r="N9" s="19" t="n">
        <v>14450000</v>
      </c>
      <c r="O9" s="19" t="n">
        <v>14930000</v>
      </c>
    </row>
    <row r="10" customFormat="false" ht="15" hidden="false" customHeight="true" outlineLevel="0" collapsed="false">
      <c r="A10" s="18" t="s">
        <v>54</v>
      </c>
      <c r="B10" s="18" t="s">
        <v>55</v>
      </c>
      <c r="C10" s="18" t="s">
        <v>57</v>
      </c>
      <c r="D10" s="19" t="n">
        <v>370000</v>
      </c>
      <c r="E10" s="19" t="n">
        <v>390000</v>
      </c>
      <c r="F10" s="19" t="n">
        <v>400000</v>
      </c>
      <c r="G10" s="19" t="n">
        <v>400000</v>
      </c>
      <c r="H10" s="19" t="n">
        <v>420000</v>
      </c>
      <c r="I10" s="19" t="n">
        <v>430000</v>
      </c>
      <c r="J10" s="19" t="n">
        <v>440000</v>
      </c>
      <c r="K10" s="19" t="n">
        <v>450000</v>
      </c>
      <c r="L10" s="19" t="n">
        <v>460000</v>
      </c>
      <c r="M10" s="19" t="n">
        <v>480000</v>
      </c>
      <c r="N10" s="19" t="n">
        <v>490000</v>
      </c>
      <c r="O10" s="19" t="n">
        <v>490000</v>
      </c>
    </row>
    <row r="11" customFormat="false" ht="15" hidden="false" customHeight="true" outlineLevel="0" collapsed="false">
      <c r="A11" s="18" t="s">
        <v>54</v>
      </c>
      <c r="B11" s="18" t="s">
        <v>55</v>
      </c>
      <c r="C11" s="18" t="s">
        <v>58</v>
      </c>
      <c r="D11" s="19" t="n">
        <v>3700000</v>
      </c>
      <c r="E11" s="19" t="n">
        <v>3860000</v>
      </c>
      <c r="F11" s="19" t="n">
        <v>3980000</v>
      </c>
      <c r="G11" s="19" t="n">
        <v>4120000</v>
      </c>
      <c r="H11" s="19" t="n">
        <v>4160000</v>
      </c>
      <c r="I11" s="19" t="n">
        <v>4210000</v>
      </c>
      <c r="J11" s="19" t="n">
        <v>4450000</v>
      </c>
      <c r="K11" s="19" t="n">
        <v>4560000</v>
      </c>
      <c r="L11" s="19" t="n">
        <v>4620000</v>
      </c>
      <c r="M11" s="19" t="n">
        <v>4720000</v>
      </c>
      <c r="N11" s="19" t="n">
        <v>4830000</v>
      </c>
      <c r="O11" s="19" t="n">
        <v>4990000</v>
      </c>
    </row>
    <row r="12" customFormat="false" ht="15" hidden="false" customHeight="true" outlineLevel="0" collapsed="false">
      <c r="A12" s="18" t="s">
        <v>54</v>
      </c>
      <c r="B12" s="18" t="s">
        <v>59</v>
      </c>
      <c r="C12" s="18" t="s">
        <v>60</v>
      </c>
      <c r="D12" s="19" t="n">
        <v>58740000</v>
      </c>
      <c r="E12" s="19" t="n">
        <v>60360000</v>
      </c>
      <c r="F12" s="19" t="n">
        <v>64130000</v>
      </c>
      <c r="G12" s="19" t="n">
        <v>63860000</v>
      </c>
      <c r="H12" s="19" t="n">
        <v>67380000</v>
      </c>
      <c r="I12" s="19" t="n">
        <v>68880000</v>
      </c>
      <c r="J12" s="19" t="n">
        <v>71030000</v>
      </c>
      <c r="K12" s="19" t="n">
        <v>72950000</v>
      </c>
      <c r="L12" s="19" t="n">
        <v>72800000</v>
      </c>
      <c r="M12" s="19" t="n">
        <v>76260000</v>
      </c>
      <c r="N12" s="19" t="n">
        <v>76200000</v>
      </c>
      <c r="O12" s="19" t="n">
        <v>78300000</v>
      </c>
    </row>
    <row r="13" customFormat="false" ht="15" hidden="false" customHeight="true" outlineLevel="0" collapsed="false">
      <c r="A13" s="18" t="s">
        <v>54</v>
      </c>
      <c r="B13" s="18" t="s">
        <v>59</v>
      </c>
      <c r="C13" s="18" t="s">
        <v>61</v>
      </c>
      <c r="D13" s="19" t="n">
        <v>22340000</v>
      </c>
      <c r="E13" s="19" t="n">
        <v>22530000</v>
      </c>
      <c r="F13" s="19" t="n">
        <v>23820000</v>
      </c>
      <c r="G13" s="19" t="n">
        <v>24720000</v>
      </c>
      <c r="H13" s="19" t="n">
        <v>25090000</v>
      </c>
      <c r="I13" s="19" t="n">
        <v>25680000</v>
      </c>
      <c r="J13" s="19" t="n">
        <v>26270000</v>
      </c>
      <c r="K13" s="19" t="n">
        <v>27240000</v>
      </c>
      <c r="L13" s="19" t="n">
        <v>27310000</v>
      </c>
      <c r="M13" s="19" t="n">
        <v>28170000</v>
      </c>
      <c r="N13" s="19" t="n">
        <v>29420000</v>
      </c>
      <c r="O13" s="19" t="n">
        <v>29420000</v>
      </c>
    </row>
    <row r="14" customFormat="false" ht="15" hidden="false" customHeight="true" outlineLevel="0" collapsed="false">
      <c r="A14" s="18" t="s">
        <v>54</v>
      </c>
      <c r="B14" s="18" t="s">
        <v>59</v>
      </c>
      <c r="C14" s="18" t="s">
        <v>62</v>
      </c>
      <c r="D14" s="19" t="n">
        <v>7350000</v>
      </c>
      <c r="E14" s="19" t="n">
        <v>7740000</v>
      </c>
      <c r="F14" s="19" t="n">
        <v>7730000</v>
      </c>
      <c r="G14" s="19" t="n">
        <v>8110000</v>
      </c>
      <c r="H14" s="19" t="n">
        <v>8470000</v>
      </c>
      <c r="I14" s="19" t="n">
        <v>8480000</v>
      </c>
      <c r="J14" s="19" t="n">
        <v>8720000</v>
      </c>
      <c r="K14" s="19" t="n">
        <v>9100000</v>
      </c>
      <c r="L14" s="19" t="n">
        <v>9150000</v>
      </c>
      <c r="M14" s="19" t="n">
        <v>9460000</v>
      </c>
      <c r="N14" s="19" t="n">
        <v>9690000</v>
      </c>
      <c r="O14" s="19" t="n">
        <v>9760000</v>
      </c>
    </row>
    <row r="15" customFormat="false" ht="15" hidden="false" customHeight="true" outlineLevel="0" collapsed="false">
      <c r="A15" s="18" t="s">
        <v>63</v>
      </c>
      <c r="B15" s="18" t="s">
        <v>64</v>
      </c>
      <c r="C15" s="18" t="s">
        <v>65</v>
      </c>
      <c r="D15" s="19" t="n">
        <v>614250000</v>
      </c>
      <c r="E15" s="19" t="n">
        <v>617500000</v>
      </c>
      <c r="F15" s="19" t="n">
        <v>620750000</v>
      </c>
      <c r="G15" s="19" t="n">
        <v>624000000</v>
      </c>
      <c r="H15" s="19" t="n">
        <v>627250000</v>
      </c>
      <c r="I15" s="19" t="n">
        <v>630500000</v>
      </c>
      <c r="J15" s="19" t="n">
        <v>633750000</v>
      </c>
      <c r="K15" s="19" t="n">
        <v>637000000</v>
      </c>
      <c r="L15" s="19" t="n">
        <v>640250000</v>
      </c>
      <c r="M15" s="19" t="n">
        <v>643500000</v>
      </c>
      <c r="N15" s="19" t="n">
        <v>646750000</v>
      </c>
      <c r="O15" s="19" t="n">
        <v>650000000</v>
      </c>
    </row>
    <row r="16" customFormat="false" ht="15" hidden="false" customHeight="true" outlineLevel="0" collapsed="false">
      <c r="A16" s="18" t="s">
        <v>63</v>
      </c>
      <c r="B16" s="18" t="s">
        <v>66</v>
      </c>
      <c r="C16" s="18" t="s">
        <v>67</v>
      </c>
      <c r="D16" s="19" t="n">
        <v>29590000</v>
      </c>
      <c r="E16" s="19" t="n">
        <v>30780000</v>
      </c>
      <c r="F16" s="19" t="n">
        <v>30970000</v>
      </c>
      <c r="G16" s="19" t="n">
        <v>32030000</v>
      </c>
      <c r="H16" s="19" t="n">
        <v>33760000</v>
      </c>
      <c r="I16" s="19" t="n">
        <v>34380000</v>
      </c>
      <c r="J16" s="19" t="n">
        <v>34600000</v>
      </c>
      <c r="K16" s="19" t="n">
        <v>35670000</v>
      </c>
      <c r="L16" s="19" t="n">
        <v>36810000</v>
      </c>
      <c r="M16" s="19" t="n">
        <v>37640000</v>
      </c>
      <c r="N16" s="19" t="n">
        <v>38690000</v>
      </c>
      <c r="O16" s="19" t="n">
        <v>39830000</v>
      </c>
    </row>
    <row r="17" customFormat="false" ht="15" hidden="false" customHeight="true" outlineLevel="0" collapsed="false">
      <c r="A17" s="18" t="s">
        <v>63</v>
      </c>
      <c r="B17" s="18" t="s">
        <v>66</v>
      </c>
      <c r="C17" s="18" t="s">
        <v>68</v>
      </c>
      <c r="D17" s="19" t="n">
        <v>18730000</v>
      </c>
      <c r="E17" s="19" t="n">
        <v>19020000</v>
      </c>
      <c r="F17" s="19" t="n">
        <v>19610000</v>
      </c>
      <c r="G17" s="19" t="n">
        <v>19880000</v>
      </c>
      <c r="H17" s="19" t="n">
        <v>20660000</v>
      </c>
      <c r="I17" s="19" t="n">
        <v>21630000</v>
      </c>
      <c r="J17" s="19" t="n">
        <v>21610000</v>
      </c>
      <c r="K17" s="19" t="n">
        <v>22500000</v>
      </c>
      <c r="L17" s="19" t="n">
        <v>22840000</v>
      </c>
      <c r="M17" s="19" t="n">
        <v>23820000</v>
      </c>
      <c r="N17" s="19" t="n">
        <v>23960000</v>
      </c>
      <c r="O17" s="19" t="n">
        <v>24720000</v>
      </c>
    </row>
    <row r="18" customFormat="false" ht="15" hidden="false" customHeight="true" outlineLevel="0" collapsed="false">
      <c r="A18" s="18" t="s">
        <v>63</v>
      </c>
      <c r="B18" s="18" t="s">
        <v>69</v>
      </c>
      <c r="C18" s="18" t="s">
        <v>70</v>
      </c>
      <c r="D18" s="19" t="n">
        <v>8830000</v>
      </c>
      <c r="E18" s="19" t="n">
        <v>9320000</v>
      </c>
      <c r="F18" s="19" t="n">
        <v>9310000</v>
      </c>
      <c r="G18" s="19" t="n">
        <v>9760000</v>
      </c>
      <c r="H18" s="19" t="n">
        <v>10030000</v>
      </c>
      <c r="I18" s="19" t="n">
        <v>10400000</v>
      </c>
      <c r="J18" s="19" t="n">
        <v>10520000</v>
      </c>
      <c r="K18" s="19" t="n">
        <v>10950000</v>
      </c>
      <c r="L18" s="19" t="n">
        <v>10910000</v>
      </c>
      <c r="M18" s="19" t="n">
        <v>11370000</v>
      </c>
      <c r="N18" s="19" t="n">
        <v>11760000</v>
      </c>
      <c r="O18" s="19" t="n">
        <v>11720000</v>
      </c>
    </row>
    <row r="19" customFormat="false" ht="15" hidden="false" customHeight="true" outlineLevel="0" collapsed="false">
      <c r="A19" s="18" t="s">
        <v>63</v>
      </c>
      <c r="B19" s="18" t="s">
        <v>69</v>
      </c>
      <c r="C19" s="18" t="s">
        <v>71</v>
      </c>
      <c r="D19" s="19" t="n">
        <v>5830000</v>
      </c>
      <c r="E19" s="19" t="n">
        <v>6140000</v>
      </c>
      <c r="F19" s="19" t="n">
        <v>6280000</v>
      </c>
      <c r="G19" s="19" t="n">
        <v>6530000</v>
      </c>
      <c r="H19" s="19" t="n">
        <v>6580000</v>
      </c>
      <c r="I19" s="19" t="n">
        <v>6830000</v>
      </c>
      <c r="J19" s="19" t="n">
        <v>7070000</v>
      </c>
      <c r="K19" s="19" t="n">
        <v>7160000</v>
      </c>
      <c r="L19" s="19" t="n">
        <v>7290000</v>
      </c>
      <c r="M19" s="19" t="n">
        <v>7460000</v>
      </c>
      <c r="N19" s="19" t="n">
        <v>7660000</v>
      </c>
      <c r="O19" s="19" t="n">
        <v>7850000</v>
      </c>
    </row>
    <row r="20" customFormat="false" ht="15" hidden="false" customHeight="true" outlineLevel="0" collapsed="false">
      <c r="A20" s="18" t="s">
        <v>72</v>
      </c>
      <c r="B20" s="18" t="s">
        <v>73</v>
      </c>
      <c r="C20" s="18" t="s">
        <v>74</v>
      </c>
      <c r="D20" s="19" t="n">
        <v>313500000</v>
      </c>
      <c r="E20" s="19" t="n">
        <v>312380000</v>
      </c>
      <c r="F20" s="19" t="n">
        <v>311250000</v>
      </c>
      <c r="G20" s="19" t="n">
        <v>310120000</v>
      </c>
      <c r="H20" s="19" t="n">
        <v>309000000</v>
      </c>
      <c r="I20" s="19" t="n">
        <v>307880000</v>
      </c>
      <c r="J20" s="19" t="n">
        <v>306750000</v>
      </c>
      <c r="K20" s="19" t="n">
        <v>305620000</v>
      </c>
      <c r="L20" s="19" t="n">
        <v>304500000</v>
      </c>
      <c r="M20" s="19" t="n">
        <v>303380000</v>
      </c>
      <c r="N20" s="19" t="n">
        <v>302250000</v>
      </c>
      <c r="O20" s="19" t="n">
        <v>301120000</v>
      </c>
    </row>
    <row r="21" customFormat="false" ht="15" hidden="false" customHeight="true" outlineLevel="0" collapsed="false">
      <c r="A21" s="18" t="s">
        <v>72</v>
      </c>
      <c r="B21" s="18" t="s">
        <v>73</v>
      </c>
      <c r="C21" s="18" t="s">
        <v>75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9" t="n">
        <v>0</v>
      </c>
      <c r="O21" s="19" t="n">
        <v>0</v>
      </c>
    </row>
    <row r="22" customFormat="false" ht="15" hidden="false" customHeight="true" outlineLevel="0" collapsed="false">
      <c r="A22" s="18" t="s">
        <v>72</v>
      </c>
      <c r="B22" s="18" t="s">
        <v>73</v>
      </c>
      <c r="C22" s="18" t="s">
        <v>76</v>
      </c>
      <c r="D22" s="19" t="n">
        <v>20900000</v>
      </c>
      <c r="E22" s="19" t="n">
        <v>20820000</v>
      </c>
      <c r="F22" s="19" t="n">
        <v>20750000</v>
      </c>
      <c r="G22" s="19" t="n">
        <v>20680000</v>
      </c>
      <c r="H22" s="19" t="n">
        <v>20600000</v>
      </c>
      <c r="I22" s="19" t="n">
        <v>20530000</v>
      </c>
      <c r="J22" s="19" t="n">
        <v>20450000</v>
      </c>
      <c r="K22" s="19" t="n">
        <v>20380000</v>
      </c>
      <c r="L22" s="19" t="n">
        <v>20300000</v>
      </c>
      <c r="M22" s="19" t="n">
        <v>20220000</v>
      </c>
      <c r="N22" s="19" t="n">
        <v>20150000</v>
      </c>
      <c r="O22" s="19" t="n">
        <v>20080000</v>
      </c>
    </row>
    <row r="23" customFormat="false" ht="15" hidden="false" customHeight="true" outlineLevel="0" collapsed="false">
      <c r="A23" s="20" t="s">
        <v>77</v>
      </c>
      <c r="B23" s="20"/>
      <c r="C23" s="20"/>
    </row>
    <row r="25" customFormat="false" ht="15" hidden="false" customHeight="true" outlineLevel="0" collapsed="false">
      <c r="A25" s="4" t="s">
        <v>78</v>
      </c>
      <c r="B25" s="4"/>
      <c r="C25" s="4"/>
      <c r="D25" s="15" t="s">
        <v>34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5" t="s">
        <v>51</v>
      </c>
      <c r="N25" s="15" t="s">
        <v>52</v>
      </c>
      <c r="O25" s="15" t="s">
        <v>53</v>
      </c>
    </row>
    <row r="26" customFormat="false" ht="15" hidden="false" customHeight="true" outlineLevel="0" collapsed="false">
      <c r="A26" s="21" t="s">
        <v>79</v>
      </c>
      <c r="B26" s="21"/>
      <c r="C26" s="21"/>
      <c r="D26" s="9" t="n">
        <f aca="false">SUMIF($A$9:$A$23,"유동자산",D$9:D$23)</f>
        <v>103500000</v>
      </c>
      <c r="E26" s="9" t="n">
        <f aca="false">SUMIF($A$9:$A$23,"유동자산",E$9:E$23)</f>
        <v>106140000</v>
      </c>
      <c r="F26" s="9" t="n">
        <f aca="false">SUMIF($A$9:$A$23,"유동자산",F$9:F$23)</f>
        <v>112040000</v>
      </c>
      <c r="G26" s="9" t="n">
        <f aca="false">SUMIF($A$9:$A$23,"유동자산",G$9:G$23)</f>
        <v>113310000</v>
      </c>
      <c r="H26" s="9" t="n">
        <f aca="false">SUMIF($A$9:$A$23,"유동자산",H$9:H$23)</f>
        <v>118120000</v>
      </c>
      <c r="I26" s="9" t="n">
        <f aca="false">SUMIF($A$9:$A$23,"유동자산",I$9:I$23)</f>
        <v>120370000</v>
      </c>
      <c r="J26" s="9" t="n">
        <f aca="false">SUMIF($A$9:$A$23,"유동자산",J$9:J$23)</f>
        <v>123970000</v>
      </c>
      <c r="K26" s="9" t="n">
        <f aca="false">SUMIF($A$9:$A$23,"유동자산",K$9:K$23)</f>
        <v>127910000</v>
      </c>
      <c r="L26" s="9" t="n">
        <f aca="false">SUMIF($A$9:$A$23,"유동자산",L$9:L$23)</f>
        <v>128180000</v>
      </c>
      <c r="M26" s="9" t="n">
        <f aca="false">SUMIF($A$9:$A$23,"유동자산",M$9:M$23)</f>
        <v>133300000</v>
      </c>
      <c r="N26" s="9" t="n">
        <f aca="false">SUMIF($A$9:$A$23,"유동자산",N$9:N$23)</f>
        <v>135080000</v>
      </c>
      <c r="O26" s="9" t="n">
        <f aca="false">SUMIF($A$9:$A$23,"유동자산",O$9:O$23)</f>
        <v>137890000</v>
      </c>
    </row>
    <row r="27" customFormat="false" ht="15" hidden="false" customHeight="true" outlineLevel="0" collapsed="false">
      <c r="A27" s="21" t="s">
        <v>80</v>
      </c>
      <c r="B27" s="21"/>
      <c r="C27" s="21"/>
      <c r="D27" s="9" t="n">
        <f aca="false">SUMIF($A$9:$A$23,"비유동자산",D$9:D$23)</f>
        <v>677230000</v>
      </c>
      <c r="E27" s="9" t="n">
        <f aca="false">SUMIF($A$9:$A$23,"비유동자산",E$9:E$23)</f>
        <v>682760000</v>
      </c>
      <c r="F27" s="9" t="n">
        <f aca="false">SUMIF($A$9:$A$23,"비유동자산",F$9:F$23)</f>
        <v>686920000</v>
      </c>
      <c r="G27" s="9" t="n">
        <f aca="false">SUMIF($A$9:$A$23,"비유동자산",G$9:G$23)</f>
        <v>692200000</v>
      </c>
      <c r="H27" s="9" t="n">
        <f aca="false">SUMIF($A$9:$A$23,"비유동자산",H$9:H$23)</f>
        <v>698280000</v>
      </c>
      <c r="I27" s="9" t="n">
        <f aca="false">SUMIF($A$9:$A$23,"비유동자산",I$9:I$23)</f>
        <v>703740000</v>
      </c>
      <c r="J27" s="9" t="n">
        <f aca="false">SUMIF($A$9:$A$23,"비유동자산",J$9:J$23)</f>
        <v>707550000</v>
      </c>
      <c r="K27" s="9" t="n">
        <f aca="false">SUMIF($A$9:$A$23,"비유동자산",K$9:K$23)</f>
        <v>713280000</v>
      </c>
      <c r="L27" s="9" t="n">
        <f aca="false">SUMIF($A$9:$A$23,"비유동자산",L$9:L$23)</f>
        <v>718100000</v>
      </c>
      <c r="M27" s="9" t="n">
        <f aca="false">SUMIF($A$9:$A$23,"비유동자산",M$9:M$23)</f>
        <v>723790000</v>
      </c>
      <c r="N27" s="9" t="n">
        <f aca="false">SUMIF($A$9:$A$23,"비유동자산",N$9:N$23)</f>
        <v>728820000</v>
      </c>
      <c r="O27" s="9" t="n">
        <f aca="false">SUMIF($A$9:$A$23,"비유동자산",O$9:O$23)</f>
        <v>734120000</v>
      </c>
    </row>
    <row r="28" customFormat="false" ht="15" hidden="false" customHeight="true" outlineLevel="0" collapsed="false">
      <c r="A28" s="11" t="s">
        <v>37</v>
      </c>
      <c r="B28" s="11"/>
      <c r="C28" s="11"/>
      <c r="D28" s="10" t="n">
        <f aca="false">D26+D27</f>
        <v>780730000</v>
      </c>
      <c r="E28" s="10" t="n">
        <f aca="false">E26+E27</f>
        <v>788900000</v>
      </c>
      <c r="F28" s="10" t="n">
        <f aca="false">F26+F27</f>
        <v>798960000</v>
      </c>
      <c r="G28" s="10" t="n">
        <f aca="false">G26+G27</f>
        <v>805510000</v>
      </c>
      <c r="H28" s="10" t="n">
        <f aca="false">H26+H27</f>
        <v>816400000</v>
      </c>
      <c r="I28" s="10" t="n">
        <f aca="false">I26+I27</f>
        <v>824110000</v>
      </c>
      <c r="J28" s="10" t="n">
        <f aca="false">J26+J27</f>
        <v>831520000</v>
      </c>
      <c r="K28" s="10" t="n">
        <f aca="false">K26+K27</f>
        <v>841190000</v>
      </c>
      <c r="L28" s="10" t="n">
        <f aca="false">L26+L27</f>
        <v>846280000</v>
      </c>
      <c r="M28" s="10" t="n">
        <f aca="false">M26+M27</f>
        <v>857090000</v>
      </c>
      <c r="N28" s="10" t="n">
        <f aca="false">N26+N27</f>
        <v>863900000</v>
      </c>
      <c r="O28" s="10" t="n">
        <f aca="false">O26+O27</f>
        <v>872010000</v>
      </c>
    </row>
    <row r="29" customFormat="false" ht="15" hidden="false" customHeight="true" outlineLevel="0" collapsed="false">
      <c r="A29" s="21" t="s">
        <v>81</v>
      </c>
      <c r="B29" s="21"/>
      <c r="C29" s="21"/>
      <c r="D29" s="9" t="n">
        <f aca="false">SUMIF($A$9:$A$23,"부채",D$9:D$23)</f>
        <v>334400000</v>
      </c>
      <c r="E29" s="9" t="n">
        <f aca="false">SUMIF($A$9:$A$23,"부채",E$9:E$23)</f>
        <v>333200000</v>
      </c>
      <c r="F29" s="9" t="n">
        <f aca="false">SUMIF($A$9:$A$23,"부채",F$9:F$23)</f>
        <v>332000000</v>
      </c>
      <c r="G29" s="9" t="n">
        <f aca="false">SUMIF($A$9:$A$23,"부채",G$9:G$23)</f>
        <v>330800000</v>
      </c>
      <c r="H29" s="9" t="n">
        <f aca="false">SUMIF($A$9:$A$23,"부채",H$9:H$23)</f>
        <v>329600000</v>
      </c>
      <c r="I29" s="9" t="n">
        <f aca="false">SUMIF($A$9:$A$23,"부채",I$9:I$23)</f>
        <v>328410000</v>
      </c>
      <c r="J29" s="9" t="n">
        <f aca="false">SUMIF($A$9:$A$23,"부채",J$9:J$23)</f>
        <v>327200000</v>
      </c>
      <c r="K29" s="9" t="n">
        <f aca="false">SUMIF($A$9:$A$23,"부채",K$9:K$23)</f>
        <v>326000000</v>
      </c>
      <c r="L29" s="9" t="n">
        <f aca="false">SUMIF($A$9:$A$23,"부채",L$9:L$23)</f>
        <v>324800000</v>
      </c>
      <c r="M29" s="9" t="n">
        <f aca="false">SUMIF($A$9:$A$23,"부채",M$9:M$23)</f>
        <v>323600000</v>
      </c>
      <c r="N29" s="9" t="n">
        <f aca="false">SUMIF($A$9:$A$23,"부채",N$9:N$23)</f>
        <v>322400000</v>
      </c>
      <c r="O29" s="9" t="n">
        <f aca="false">SUMIF($A$9:$A$23,"부채",O$9:O$23)</f>
        <v>321200000</v>
      </c>
    </row>
    <row r="30" customFormat="false" ht="15" hidden="false" customHeight="true" outlineLevel="0" collapsed="false">
      <c r="A30" s="11" t="s">
        <v>39</v>
      </c>
      <c r="B30" s="11"/>
      <c r="C30" s="11"/>
      <c r="D30" s="10" t="n">
        <f aca="false">D28-D29</f>
        <v>446330000</v>
      </c>
      <c r="E30" s="10" t="n">
        <f aca="false">E28-E29</f>
        <v>455700000</v>
      </c>
      <c r="F30" s="10" t="n">
        <f aca="false">F28-F29</f>
        <v>466960000</v>
      </c>
      <c r="G30" s="10" t="n">
        <f aca="false">G28-G29</f>
        <v>474710000</v>
      </c>
      <c r="H30" s="10" t="n">
        <f aca="false">H28-H29</f>
        <v>486800000</v>
      </c>
      <c r="I30" s="10" t="n">
        <f aca="false">I28-I29</f>
        <v>495700000</v>
      </c>
      <c r="J30" s="10" t="n">
        <f aca="false">J28-J29</f>
        <v>504320000</v>
      </c>
      <c r="K30" s="10" t="n">
        <f aca="false">K28-K29</f>
        <v>515190000</v>
      </c>
      <c r="L30" s="10" t="n">
        <f aca="false">L28-L29</f>
        <v>521480000</v>
      </c>
      <c r="M30" s="10" t="n">
        <f aca="false">M28-M29</f>
        <v>533490000</v>
      </c>
      <c r="N30" s="10" t="n">
        <f aca="false">N28-N29</f>
        <v>541500000</v>
      </c>
      <c r="O30" s="10" t="n">
        <f aca="false">O28-O29</f>
        <v>550810000</v>
      </c>
    </row>
    <row r="31" customFormat="false" ht="15" hidden="false" customHeight="true" outlineLevel="0" collapsed="false">
      <c r="A31" s="21" t="s">
        <v>82</v>
      </c>
      <c r="B31" s="21"/>
      <c r="C31" s="21"/>
      <c r="D31" s="8" t="n">
        <f aca="false">IF(D28=0,0,D29/D28)</f>
        <v>0.428317087853675</v>
      </c>
      <c r="E31" s="8" t="n">
        <f aca="false">IF(E28=0,0,E29/E28)</f>
        <v>0.422360248447205</v>
      </c>
      <c r="F31" s="8" t="n">
        <f aca="false">IF(F28=0,0,F29/F28)</f>
        <v>0.415540202262942</v>
      </c>
      <c r="G31" s="8" t="n">
        <f aca="false">IF(G28=0,0,G29/G28)</f>
        <v>0.410671500043451</v>
      </c>
      <c r="H31" s="8" t="n">
        <f aca="false">IF(H28=0,0,H29/H28)</f>
        <v>0.403723664870162</v>
      </c>
      <c r="I31" s="8" t="n">
        <f aca="false">IF(I28=0,0,I29/I28)</f>
        <v>0.398502627076483</v>
      </c>
      <c r="J31" s="8" t="n">
        <f aca="false">IF(J28=0,0,J29/J28)</f>
        <v>0.39349624783529</v>
      </c>
      <c r="K31" s="8" t="n">
        <f aca="false">IF(K28=0,0,K29/K28)</f>
        <v>0.387546214291658</v>
      </c>
      <c r="L31" s="8" t="n">
        <f aca="false">IF(L28=0,0,L29/L28)</f>
        <v>0.38379732476249</v>
      </c>
      <c r="M31" s="8" t="n">
        <f aca="false">IF(M28=0,0,M29/M28)</f>
        <v>0.377556615991319</v>
      </c>
      <c r="N31" s="8" t="n">
        <f aca="false">IF(N28=0,0,N29/N28)</f>
        <v>0.373191341590462</v>
      </c>
      <c r="O31" s="8" t="n">
        <f aca="false">IF(O28=0,0,O29/O28)</f>
        <v>0.368344399720187</v>
      </c>
    </row>
    <row r="32" customFormat="false" ht="15" hidden="false" customHeight="true" outlineLevel="0" collapsed="false">
      <c r="A32" s="21" t="s">
        <v>83</v>
      </c>
      <c r="B32" s="21"/>
      <c r="C32" s="21"/>
      <c r="D32" s="9"/>
      <c r="E32" s="9" t="n">
        <f aca="false">IF(OR(COUNT(E$9:E$23)=0,COUNT(D$9:D$23)=0),"",E28-D28)</f>
        <v>8170000</v>
      </c>
      <c r="F32" s="9" t="n">
        <f aca="false">IF(OR(COUNT(F$9:F$23)=0,COUNT(E$9:E$23)=0),"",F28-E28)</f>
        <v>10060000</v>
      </c>
      <c r="G32" s="9" t="n">
        <f aca="false">IF(OR(COUNT(G$9:G$23)=0,COUNT(F$9:F$23)=0),"",G28-F28)</f>
        <v>6550000</v>
      </c>
      <c r="H32" s="9" t="n">
        <f aca="false">IF(OR(COUNT(H$9:H$23)=0,COUNT(G$9:G$23)=0),"",H28-G28)</f>
        <v>10890000</v>
      </c>
      <c r="I32" s="9" t="n">
        <f aca="false">IF(OR(COUNT(I$9:I$23)=0,COUNT(H$9:H$23)=0),"",I28-H28)</f>
        <v>7710000</v>
      </c>
      <c r="J32" s="9" t="n">
        <f aca="false">IF(OR(COUNT(J$9:J$23)=0,COUNT(I$9:I$23)=0),"",J28-I28)</f>
        <v>7410000</v>
      </c>
      <c r="K32" s="9" t="n">
        <f aca="false">IF(OR(COUNT(K$9:K$23)=0,COUNT(J$9:J$23)=0),"",K28-J28)</f>
        <v>9670000</v>
      </c>
      <c r="L32" s="9" t="n">
        <f aca="false">IF(OR(COUNT(L$9:L$23)=0,COUNT(K$9:K$23)=0),"",L28-K28)</f>
        <v>5090000</v>
      </c>
      <c r="M32" s="9" t="n">
        <f aca="false">IF(OR(COUNT(M$9:M$23)=0,COUNT(L$9:L$23)=0),"",M28-L28)</f>
        <v>10810000</v>
      </c>
      <c r="N32" s="9" t="n">
        <f aca="false">IF(OR(COUNT(N$9:N$23)=0,COUNT(M$9:M$23)=0),"",N28-M28)</f>
        <v>6810000</v>
      </c>
      <c r="O32" s="9" t="n">
        <f aca="false">IF(OR(COUNT(O$9:O$23)=0,COUNT(N$9:N$23)=0),"",O28-N28)</f>
        <v>8110000</v>
      </c>
    </row>
    <row r="33" customFormat="false" ht="15" hidden="false" customHeight="true" outlineLevel="0" collapsed="false">
      <c r="A33" s="21" t="s">
        <v>84</v>
      </c>
      <c r="B33" s="21"/>
      <c r="C33" s="21"/>
      <c r="D33" s="8"/>
      <c r="E33" s="8" t="n">
        <f aca="false">IF(OR(E32="",D28=0),"",E32/D28)</f>
        <v>0.0104645652146068</v>
      </c>
      <c r="F33" s="8" t="n">
        <f aca="false">IF(OR(F32="",E28=0),"",F32/E28)</f>
        <v>0.0127519330713652</v>
      </c>
      <c r="G33" s="8" t="n">
        <f aca="false">IF(OR(G32="",F28=0),"",G32/F28)</f>
        <v>0.00819815760488635</v>
      </c>
      <c r="H33" s="8" t="n">
        <f aca="false">IF(OR(H32="",G28=0),"",H32/G28)</f>
        <v>0.0135193852341995</v>
      </c>
      <c r="I33" s="8" t="n">
        <f aca="false">IF(OR(I32="",H28=0),"",I32/H28)</f>
        <v>0.00944390004899559</v>
      </c>
      <c r="J33" s="8" t="n">
        <f aca="false">IF(OR(J32="",I28=0),"",J32/I28)</f>
        <v>0.00899151812258072</v>
      </c>
      <c r="K33" s="8" t="n">
        <f aca="false">IF(OR(K32="",J28=0),"",K32/J28)</f>
        <v>0.0116293053684818</v>
      </c>
      <c r="L33" s="8" t="n">
        <f aca="false">IF(OR(L32="",K28=0),"",L32/K28)</f>
        <v>0.00605095162805074</v>
      </c>
      <c r="M33" s="8" t="n">
        <f aca="false">IF(OR(M32="",L28=0),"",M32/L28)</f>
        <v>0.0127735501252541</v>
      </c>
      <c r="N33" s="8" t="n">
        <f aca="false">IF(OR(N32="",M28=0),"",N32/M28)</f>
        <v>0.0079454899718816</v>
      </c>
      <c r="O33" s="8" t="n">
        <f aca="false">IF(OR(O32="",N28=0),"",O32/N28)</f>
        <v>0.00938766060886677</v>
      </c>
    </row>
    <row r="34" customFormat="false" ht="15" hidden="false" customHeight="true" outlineLevel="0" collapsed="false">
      <c r="A34" s="11" t="s">
        <v>85</v>
      </c>
      <c r="B34" s="11"/>
      <c r="C34" s="11"/>
      <c r="D34" s="10"/>
      <c r="E34" s="10" t="n">
        <f aca="false">IF(OR(COUNT(E$9:E$23)=0,COUNT(D$9:D$23)=0),"",E30-D30)</f>
        <v>9370000</v>
      </c>
      <c r="F34" s="10" t="n">
        <f aca="false">IF(OR(COUNT(F$9:F$23)=0,COUNT(E$9:E$23)=0),"",F30-E30)</f>
        <v>11260000</v>
      </c>
      <c r="G34" s="10" t="n">
        <f aca="false">IF(OR(COUNT(G$9:G$23)=0,COUNT(F$9:F$23)=0),"",G30-F30)</f>
        <v>7750000</v>
      </c>
      <c r="H34" s="10" t="n">
        <f aca="false">IF(OR(COUNT(H$9:H$23)=0,COUNT(G$9:G$23)=0),"",H30-G30)</f>
        <v>12090000</v>
      </c>
      <c r="I34" s="10" t="n">
        <f aca="false">IF(OR(COUNT(I$9:I$23)=0,COUNT(H$9:H$23)=0),"",I30-H30)</f>
        <v>8900000</v>
      </c>
      <c r="J34" s="10" t="n">
        <f aca="false">IF(OR(COUNT(J$9:J$23)=0,COUNT(I$9:I$23)=0),"",J30-I30)</f>
        <v>8620000</v>
      </c>
      <c r="K34" s="10" t="n">
        <f aca="false">IF(OR(COUNT(K$9:K$23)=0,COUNT(J$9:J$23)=0),"",K30-J30)</f>
        <v>10870000</v>
      </c>
      <c r="L34" s="10" t="n">
        <f aca="false">IF(OR(COUNT(L$9:L$23)=0,COUNT(K$9:K$23)=0),"",L30-K30)</f>
        <v>6290000</v>
      </c>
      <c r="M34" s="10" t="n">
        <f aca="false">IF(OR(COUNT(M$9:M$23)=0,COUNT(L$9:L$23)=0),"",M30-L30)</f>
        <v>12010000</v>
      </c>
      <c r="N34" s="10" t="n">
        <f aca="false">IF(OR(COUNT(N$9:N$23)=0,COUNT(M$9:M$23)=0),"",N30-M30)</f>
        <v>8010000</v>
      </c>
      <c r="O34" s="10" t="n">
        <f aca="false">IF(OR(COUNT(O$9:O$23)=0,COUNT(N$9:N$23)=0),"",O30-N30)</f>
        <v>9310000</v>
      </c>
    </row>
    <row r="35" customFormat="false" ht="15" hidden="false" customHeight="true" outlineLevel="0" collapsed="false">
      <c r="A35" s="11" t="s">
        <v>86</v>
      </c>
      <c r="B35" s="11"/>
      <c r="C35" s="11"/>
      <c r="D35" s="17"/>
      <c r="E35" s="17" t="n">
        <f aca="false">IF(OR(E34="",D30=0),"",E34/D30)</f>
        <v>0.0209934353505254</v>
      </c>
      <c r="F35" s="17" t="n">
        <f aca="false">IF(OR(F34="",E30=0),"",F34/E30)</f>
        <v>0.0247092385341233</v>
      </c>
      <c r="G35" s="17" t="n">
        <f aca="false">IF(OR(G34="",F30=0),"",G34/F30)</f>
        <v>0.0165967106390269</v>
      </c>
      <c r="H35" s="17" t="n">
        <f aca="false">IF(OR(H34="",G30=0),"",H34/G30)</f>
        <v>0.0254681805734027</v>
      </c>
      <c r="I35" s="17" t="n">
        <f aca="false">IF(OR(I34="",H30=0),"",I34/H30)</f>
        <v>0.0182826622843057</v>
      </c>
      <c r="J35" s="17" t="n">
        <f aca="false">IF(OR(J34="",I30=0),"",J34/I30)</f>
        <v>0.0173895501311277</v>
      </c>
      <c r="K35" s="17" t="n">
        <f aca="false">IF(OR(K34="",J30=0),"",K34/J30)</f>
        <v>0.0215537753807107</v>
      </c>
      <c r="L35" s="17" t="n">
        <f aca="false">IF(OR(L34="",K30=0),"",L34/K30)</f>
        <v>0.012209087909315</v>
      </c>
      <c r="M35" s="17" t="n">
        <f aca="false">IF(OR(M34="",L30=0),"",M34/L30)</f>
        <v>0.023030605200583</v>
      </c>
      <c r="N35" s="17" t="n">
        <f aca="false">IF(OR(N34="",M30=0),"",N34/M30)</f>
        <v>0.0150143395377608</v>
      </c>
      <c r="O35" s="17" t="n">
        <f aca="false">IF(OR(O34="",N30=0),"",O34/N30)</f>
        <v>0.0171929824561404</v>
      </c>
    </row>
    <row r="36" customFormat="false" ht="15" hidden="false" customHeight="true" outlineLevel="0" collapsed="false">
      <c r="A36" s="21" t="s">
        <v>87</v>
      </c>
      <c r="B36" s="21"/>
      <c r="C36" s="21"/>
      <c r="D36" s="6" t="n">
        <f aca="false">1월!$B$10</f>
        <v>3020000</v>
      </c>
      <c r="E36" s="6" t="n">
        <f aca="false">2월!$B$10</f>
        <v>5330000</v>
      </c>
      <c r="F36" s="6" t="n">
        <f aca="false">3월!$B$10</f>
        <v>2750000</v>
      </c>
      <c r="G36" s="6" t="n">
        <f aca="false">4월!$B$10</f>
        <v>3310000</v>
      </c>
      <c r="H36" s="6" t="n">
        <f aca="false">5월!$B$10</f>
        <v>3430000</v>
      </c>
      <c r="I36" s="6" t="n">
        <f aca="false">6월!$B$10</f>
        <v>2760000</v>
      </c>
      <c r="J36" s="6" t="n">
        <f aca="false">7월!$B$10</f>
        <v>3340000</v>
      </c>
      <c r="K36" s="6" t="n">
        <f aca="false">8월!$B$10</f>
        <v>3000000</v>
      </c>
      <c r="L36" s="6" t="n">
        <f aca="false">9월!$B$10</f>
        <v>4440000</v>
      </c>
      <c r="M36" s="6" t="n">
        <f aca="false">10월!$B$10</f>
        <v>2690000</v>
      </c>
      <c r="N36" s="6" t="n">
        <f aca="false">11월!$B$10</f>
        <v>3340000</v>
      </c>
      <c r="O36" s="6" t="n">
        <f aca="false">12월!$B$10</f>
        <v>3150000</v>
      </c>
    </row>
    <row r="37" customFormat="false" ht="15" hidden="false" customHeight="true" outlineLevel="0" collapsed="false">
      <c r="A37" s="21" t="s">
        <v>88</v>
      </c>
      <c r="B37" s="21"/>
      <c r="C37" s="21"/>
      <c r="D37" s="6" t="n">
        <f aca="false">1월!$B$11</f>
        <v>0</v>
      </c>
      <c r="E37" s="6" t="n">
        <f aca="false">2월!$B$11</f>
        <v>1200000</v>
      </c>
      <c r="F37" s="6" t="n">
        <f aca="false">3월!$B$11</f>
        <v>1200000</v>
      </c>
      <c r="G37" s="6" t="n">
        <f aca="false">4월!$B$11</f>
        <v>1200000</v>
      </c>
      <c r="H37" s="6" t="n">
        <f aca="false">5월!$B$11</f>
        <v>1200000</v>
      </c>
      <c r="I37" s="6" t="n">
        <f aca="false">6월!$B$11</f>
        <v>1190000</v>
      </c>
      <c r="J37" s="6" t="n">
        <f aca="false">7월!$B$11</f>
        <v>1210000</v>
      </c>
      <c r="K37" s="6" t="n">
        <f aca="false">8월!$B$11</f>
        <v>1200000</v>
      </c>
      <c r="L37" s="6" t="n">
        <f aca="false">9월!$B$11</f>
        <v>1200000</v>
      </c>
      <c r="M37" s="6" t="n">
        <f aca="false">10월!$B$11</f>
        <v>1200000</v>
      </c>
      <c r="N37" s="6" t="n">
        <f aca="false">11월!$B$11</f>
        <v>1200000</v>
      </c>
      <c r="O37" s="6" t="n">
        <f aca="false">12월!$B$11</f>
        <v>1200000</v>
      </c>
    </row>
    <row r="38" customFormat="false" ht="15" hidden="false" customHeight="true" outlineLevel="0" collapsed="false">
      <c r="A38" s="11" t="s">
        <v>89</v>
      </c>
      <c r="B38" s="11"/>
      <c r="C38" s="11"/>
      <c r="D38" s="10" t="n">
        <f aca="false">D36+D37</f>
        <v>3020000</v>
      </c>
      <c r="E38" s="10" t="n">
        <f aca="false">E36+E37</f>
        <v>6530000</v>
      </c>
      <c r="F38" s="10" t="n">
        <f aca="false">F36+F37</f>
        <v>3950000</v>
      </c>
      <c r="G38" s="10" t="n">
        <f aca="false">G36+G37</f>
        <v>4510000</v>
      </c>
      <c r="H38" s="10" t="n">
        <f aca="false">H36+H37</f>
        <v>4630000</v>
      </c>
      <c r="I38" s="10" t="n">
        <f aca="false">I36+I37</f>
        <v>3950000</v>
      </c>
      <c r="J38" s="10" t="n">
        <f aca="false">J36+J37</f>
        <v>4550000</v>
      </c>
      <c r="K38" s="10" t="n">
        <f aca="false">K36+K37</f>
        <v>4200000</v>
      </c>
      <c r="L38" s="10" t="n">
        <f aca="false">L36+L37</f>
        <v>5640000</v>
      </c>
      <c r="M38" s="10" t="n">
        <f aca="false">M36+M37</f>
        <v>3890000</v>
      </c>
      <c r="N38" s="10" t="n">
        <f aca="false">N36+N37</f>
        <v>4540000</v>
      </c>
      <c r="O38" s="10" t="n">
        <f aca="false">O36+O37</f>
        <v>4350000</v>
      </c>
    </row>
    <row r="39" customFormat="false" ht="15" hidden="false" customHeight="true" outlineLevel="0" collapsed="false">
      <c r="A39" s="21" t="s">
        <v>90</v>
      </c>
      <c r="B39" s="21"/>
      <c r="C39" s="21"/>
      <c r="D39" s="9"/>
      <c r="E39" s="9" t="n">
        <f aca="false">IF(E34="","",E34-E38)</f>
        <v>2840000</v>
      </c>
      <c r="F39" s="9" t="n">
        <f aca="false">IF(F34="","",F34-F38)</f>
        <v>7310000</v>
      </c>
      <c r="G39" s="9" t="n">
        <f aca="false">IF(G34="","",G34-G38)</f>
        <v>3240000</v>
      </c>
      <c r="H39" s="9" t="n">
        <f aca="false">IF(H34="","",H34-H38)</f>
        <v>7460000</v>
      </c>
      <c r="I39" s="9" t="n">
        <f aca="false">IF(I34="","",I34-I38)</f>
        <v>4950000</v>
      </c>
      <c r="J39" s="9" t="n">
        <f aca="false">IF(J34="","",J34-J38)</f>
        <v>4070000</v>
      </c>
      <c r="K39" s="9" t="n">
        <f aca="false">IF(K34="","",K34-K38)</f>
        <v>6670000</v>
      </c>
      <c r="L39" s="9" t="n">
        <f aca="false">IF(L34="","",L34-L38)</f>
        <v>650000</v>
      </c>
      <c r="M39" s="9" t="n">
        <f aca="false">IF(M34="","",M34-M38)</f>
        <v>8120000</v>
      </c>
      <c r="N39" s="9" t="n">
        <f aca="false">IF(N34="","",N34-N38)</f>
        <v>3470000</v>
      </c>
      <c r="O39" s="9" t="n">
        <f aca="false">IF(O34="","",O34-O38)</f>
        <v>4960000</v>
      </c>
    </row>
    <row r="40" customFormat="false" ht="15" hidden="false" customHeight="true" outlineLevel="0" collapsed="false">
      <c r="A40" s="21" t="s">
        <v>91</v>
      </c>
      <c r="B40" s="21"/>
      <c r="C40" s="21"/>
      <c r="D40" s="22"/>
      <c r="E40" s="22" t="n">
        <f aca="false">IF(OR(E39="",D30=0),"",E39/D30)</f>
        <v>0.00636300495149329</v>
      </c>
      <c r="F40" s="22" t="n">
        <f aca="false">IF(OR(F39="",E30=0),"",F39/E30)</f>
        <v>0.0160412552117621</v>
      </c>
      <c r="G40" s="22" t="n">
        <f aca="false">IF(OR(G39="",F30=0),"",G39/F30)</f>
        <v>0.00693849580263834</v>
      </c>
      <c r="H40" s="22" t="n">
        <f aca="false">IF(OR(H39="",G30=0),"",H39/G30)</f>
        <v>0.0157148574919425</v>
      </c>
      <c r="I40" s="22" t="n">
        <f aca="false">IF(OR(I39="",H30=0),"",I39/H30)</f>
        <v>0.0101684470008217</v>
      </c>
      <c r="J40" s="22" t="n">
        <f aca="false">IF(OR(J39="",I30=0),"",J39/I30)</f>
        <v>0.00821061125680855</v>
      </c>
      <c r="K40" s="22" t="n">
        <f aca="false">IF(OR(K39="",J30=0),"",K39/J30)</f>
        <v>0.0132257296954315</v>
      </c>
      <c r="L40" s="22" t="n">
        <f aca="false">IF(OR(L39="",K30=0),"",L39/K30)</f>
        <v>0.00126167045167802</v>
      </c>
      <c r="M40" s="22" t="n">
        <f aca="false">IF(OR(M39="",L30=0),"",M39/L30)</f>
        <v>0.0155710669632584</v>
      </c>
      <c r="N40" s="22" t="n">
        <f aca="false">IF(OR(N39="",M30=0),"",N39/M30)</f>
        <v>0.00650433935031584</v>
      </c>
      <c r="O40" s="22" t="n">
        <f aca="false">IF(OR(O39="",N30=0),"",O39/N30)</f>
        <v>0.00915974145891044</v>
      </c>
    </row>
    <row r="42" customFormat="false" ht="15" hidden="false" customHeight="true" outlineLevel="0" collapsed="false">
      <c r="A42" s="4" t="s">
        <v>40</v>
      </c>
      <c r="B42" s="4" t="s">
        <v>41</v>
      </c>
      <c r="C42" s="4"/>
      <c r="D42" s="15" t="s">
        <v>34</v>
      </c>
      <c r="E42" s="15" t="s">
        <v>43</v>
      </c>
      <c r="F42" s="15" t="s">
        <v>44</v>
      </c>
      <c r="G42" s="15" t="s">
        <v>45</v>
      </c>
      <c r="H42" s="15" t="s">
        <v>46</v>
      </c>
      <c r="I42" s="15" t="s">
        <v>47</v>
      </c>
      <c r="J42" s="15" t="s">
        <v>48</v>
      </c>
      <c r="K42" s="15" t="s">
        <v>49</v>
      </c>
      <c r="L42" s="15" t="s">
        <v>50</v>
      </c>
      <c r="M42" s="15" t="s">
        <v>51</v>
      </c>
      <c r="N42" s="15" t="s">
        <v>52</v>
      </c>
      <c r="O42" s="15" t="s">
        <v>53</v>
      </c>
    </row>
    <row r="43" customFormat="false" ht="15" hidden="false" customHeight="true" outlineLevel="0" collapsed="false">
      <c r="A43" s="21" t="s">
        <v>54</v>
      </c>
      <c r="B43" s="21" t="s">
        <v>55</v>
      </c>
      <c r="C43" s="5"/>
      <c r="D43" s="9" t="n">
        <f aca="false">SUMIFS(D$9:D$23,$A$9:$A$23,$A43,$B$9:$B$23,$B43)</f>
        <v>15070000</v>
      </c>
      <c r="E43" s="9" t="n">
        <f aca="false">SUMIFS(E$9:E$23,$A$9:$A$23,$A43,$B$9:$B$23,$B43)</f>
        <v>15510000</v>
      </c>
      <c r="F43" s="9" t="n">
        <f aca="false">SUMIFS(F$9:F$23,$A$9:$A$23,$A43,$B$9:$B$23,$B43)</f>
        <v>16360000</v>
      </c>
      <c r="G43" s="9" t="n">
        <f aca="false">SUMIFS(G$9:G$23,$A$9:$A$23,$A43,$B$9:$B$23,$B43)</f>
        <v>16620000</v>
      </c>
      <c r="H43" s="9" t="n">
        <f aca="false">SUMIFS(H$9:H$23,$A$9:$A$23,$A43,$B$9:$B$23,$B43)</f>
        <v>17180000</v>
      </c>
      <c r="I43" s="9" t="n">
        <f aca="false">SUMIFS(I$9:I$23,$A$9:$A$23,$A43,$B$9:$B$23,$B43)</f>
        <v>17330000</v>
      </c>
      <c r="J43" s="9" t="n">
        <f aca="false">SUMIFS(J$9:J$23,$A$9:$A$23,$A43,$B$9:$B$23,$B43)</f>
        <v>17950000</v>
      </c>
      <c r="K43" s="9" t="n">
        <f aca="false">SUMIFS(K$9:K$23,$A$9:$A$23,$A43,$B$9:$B$23,$B43)</f>
        <v>18620000</v>
      </c>
      <c r="L43" s="9" t="n">
        <f aca="false">SUMIFS(L$9:L$23,$A$9:$A$23,$A43,$B$9:$B$23,$B43)</f>
        <v>18920000</v>
      </c>
      <c r="M43" s="9" t="n">
        <f aca="false">SUMIFS(M$9:M$23,$A$9:$A$23,$A43,$B$9:$B$23,$B43)</f>
        <v>19410000</v>
      </c>
      <c r="N43" s="9" t="n">
        <f aca="false">SUMIFS(N$9:N$23,$A$9:$A$23,$A43,$B$9:$B$23,$B43)</f>
        <v>19770000</v>
      </c>
      <c r="O43" s="9" t="n">
        <f aca="false">SUMIFS(O$9:O$23,$A$9:$A$23,$A43,$B$9:$B$23,$B43)</f>
        <v>20410000</v>
      </c>
    </row>
    <row r="44" customFormat="false" ht="15" hidden="false" customHeight="true" outlineLevel="0" collapsed="false">
      <c r="A44" s="21" t="s">
        <v>54</v>
      </c>
      <c r="B44" s="21" t="s">
        <v>59</v>
      </c>
      <c r="C44" s="5"/>
      <c r="D44" s="9" t="n">
        <f aca="false">SUMIFS(D$9:D$23,$A$9:$A$23,$A44,$B$9:$B$23,$B44)</f>
        <v>88430000</v>
      </c>
      <c r="E44" s="9" t="n">
        <f aca="false">SUMIFS(E$9:E$23,$A$9:$A$23,$A44,$B$9:$B$23,$B44)</f>
        <v>90630000</v>
      </c>
      <c r="F44" s="9" t="n">
        <f aca="false">SUMIFS(F$9:F$23,$A$9:$A$23,$A44,$B$9:$B$23,$B44)</f>
        <v>95680000</v>
      </c>
      <c r="G44" s="9" t="n">
        <f aca="false">SUMIFS(G$9:G$23,$A$9:$A$23,$A44,$B$9:$B$23,$B44)</f>
        <v>96690000</v>
      </c>
      <c r="H44" s="9" t="n">
        <f aca="false">SUMIFS(H$9:H$23,$A$9:$A$23,$A44,$B$9:$B$23,$B44)</f>
        <v>100940000</v>
      </c>
      <c r="I44" s="9" t="n">
        <f aca="false">SUMIFS(I$9:I$23,$A$9:$A$23,$A44,$B$9:$B$23,$B44)</f>
        <v>103040000</v>
      </c>
      <c r="J44" s="9" t="n">
        <f aca="false">SUMIFS(J$9:J$23,$A$9:$A$23,$A44,$B$9:$B$23,$B44)</f>
        <v>106020000</v>
      </c>
      <c r="K44" s="9" t="n">
        <f aca="false">SUMIFS(K$9:K$23,$A$9:$A$23,$A44,$B$9:$B$23,$B44)</f>
        <v>109290000</v>
      </c>
      <c r="L44" s="9" t="n">
        <f aca="false">SUMIFS(L$9:L$23,$A$9:$A$23,$A44,$B$9:$B$23,$B44)</f>
        <v>109260000</v>
      </c>
      <c r="M44" s="9" t="n">
        <f aca="false">SUMIFS(M$9:M$23,$A$9:$A$23,$A44,$B$9:$B$23,$B44)</f>
        <v>113890000</v>
      </c>
      <c r="N44" s="9" t="n">
        <f aca="false">SUMIFS(N$9:N$23,$A$9:$A$23,$A44,$B$9:$B$23,$B44)</f>
        <v>115310000</v>
      </c>
      <c r="O44" s="9" t="n">
        <f aca="false">SUMIFS(O$9:O$23,$A$9:$A$23,$A44,$B$9:$B$23,$B44)</f>
        <v>117480000</v>
      </c>
    </row>
    <row r="45" customFormat="false" ht="15" hidden="false" customHeight="true" outlineLevel="0" collapsed="false">
      <c r="A45" s="21" t="s">
        <v>63</v>
      </c>
      <c r="B45" s="21" t="s">
        <v>64</v>
      </c>
      <c r="C45" s="5"/>
      <c r="D45" s="9" t="n">
        <f aca="false">SUMIFS(D$9:D$23,$A$9:$A$23,$A45,$B$9:$B$23,$B45)</f>
        <v>614250000</v>
      </c>
      <c r="E45" s="9" t="n">
        <f aca="false">SUMIFS(E$9:E$23,$A$9:$A$23,$A45,$B$9:$B$23,$B45)</f>
        <v>617500000</v>
      </c>
      <c r="F45" s="9" t="n">
        <f aca="false">SUMIFS(F$9:F$23,$A$9:$A$23,$A45,$B$9:$B$23,$B45)</f>
        <v>620750000</v>
      </c>
      <c r="G45" s="9" t="n">
        <f aca="false">SUMIFS(G$9:G$23,$A$9:$A$23,$A45,$B$9:$B$23,$B45)</f>
        <v>624000000</v>
      </c>
      <c r="H45" s="9" t="n">
        <f aca="false">SUMIFS(H$9:H$23,$A$9:$A$23,$A45,$B$9:$B$23,$B45)</f>
        <v>627250000</v>
      </c>
      <c r="I45" s="9" t="n">
        <f aca="false">SUMIFS(I$9:I$23,$A$9:$A$23,$A45,$B$9:$B$23,$B45)</f>
        <v>630500000</v>
      </c>
      <c r="J45" s="9" t="n">
        <f aca="false">SUMIFS(J$9:J$23,$A$9:$A$23,$A45,$B$9:$B$23,$B45)</f>
        <v>633750000</v>
      </c>
      <c r="K45" s="9" t="n">
        <f aca="false">SUMIFS(K$9:K$23,$A$9:$A$23,$A45,$B$9:$B$23,$B45)</f>
        <v>637000000</v>
      </c>
      <c r="L45" s="9" t="n">
        <f aca="false">SUMIFS(L$9:L$23,$A$9:$A$23,$A45,$B$9:$B$23,$B45)</f>
        <v>640250000</v>
      </c>
      <c r="M45" s="9" t="n">
        <f aca="false">SUMIFS(M$9:M$23,$A$9:$A$23,$A45,$B$9:$B$23,$B45)</f>
        <v>643500000</v>
      </c>
      <c r="N45" s="9" t="n">
        <f aca="false">SUMIFS(N$9:N$23,$A$9:$A$23,$A45,$B$9:$B$23,$B45)</f>
        <v>646750000</v>
      </c>
      <c r="O45" s="9" t="n">
        <f aca="false">SUMIFS(O$9:O$23,$A$9:$A$23,$A45,$B$9:$B$23,$B45)</f>
        <v>650000000</v>
      </c>
    </row>
    <row r="46" customFormat="false" ht="15" hidden="false" customHeight="true" outlineLevel="0" collapsed="false">
      <c r="A46" s="21" t="s">
        <v>63</v>
      </c>
      <c r="B46" s="21" t="s">
        <v>66</v>
      </c>
      <c r="C46" s="5"/>
      <c r="D46" s="9" t="n">
        <f aca="false">SUMIFS(D$9:D$23,$A$9:$A$23,$A46,$B$9:$B$23,$B46)</f>
        <v>48320000</v>
      </c>
      <c r="E46" s="9" t="n">
        <f aca="false">SUMIFS(E$9:E$23,$A$9:$A$23,$A46,$B$9:$B$23,$B46)</f>
        <v>49800000</v>
      </c>
      <c r="F46" s="9" t="n">
        <f aca="false">SUMIFS(F$9:F$23,$A$9:$A$23,$A46,$B$9:$B$23,$B46)</f>
        <v>50580000</v>
      </c>
      <c r="G46" s="9" t="n">
        <f aca="false">SUMIFS(G$9:G$23,$A$9:$A$23,$A46,$B$9:$B$23,$B46)</f>
        <v>51910000</v>
      </c>
      <c r="H46" s="9" t="n">
        <f aca="false">SUMIFS(H$9:H$23,$A$9:$A$23,$A46,$B$9:$B$23,$B46)</f>
        <v>54420000</v>
      </c>
      <c r="I46" s="9" t="n">
        <f aca="false">SUMIFS(I$9:I$23,$A$9:$A$23,$A46,$B$9:$B$23,$B46)</f>
        <v>56010000</v>
      </c>
      <c r="J46" s="9" t="n">
        <f aca="false">SUMIFS(J$9:J$23,$A$9:$A$23,$A46,$B$9:$B$23,$B46)</f>
        <v>56210000</v>
      </c>
      <c r="K46" s="9" t="n">
        <f aca="false">SUMIFS(K$9:K$23,$A$9:$A$23,$A46,$B$9:$B$23,$B46)</f>
        <v>58170000</v>
      </c>
      <c r="L46" s="9" t="n">
        <f aca="false">SUMIFS(L$9:L$23,$A$9:$A$23,$A46,$B$9:$B$23,$B46)</f>
        <v>59650000</v>
      </c>
      <c r="M46" s="9" t="n">
        <f aca="false">SUMIFS(M$9:M$23,$A$9:$A$23,$A46,$B$9:$B$23,$B46)</f>
        <v>61460000</v>
      </c>
      <c r="N46" s="9" t="n">
        <f aca="false">SUMIFS(N$9:N$23,$A$9:$A$23,$A46,$B$9:$B$23,$B46)</f>
        <v>62650000</v>
      </c>
      <c r="O46" s="9" t="n">
        <f aca="false">SUMIFS(O$9:O$23,$A$9:$A$23,$A46,$B$9:$B$23,$B46)</f>
        <v>64550000</v>
      </c>
    </row>
    <row r="47" customFormat="false" ht="15" hidden="false" customHeight="true" outlineLevel="0" collapsed="false">
      <c r="A47" s="21" t="s">
        <v>63</v>
      </c>
      <c r="B47" s="21" t="s">
        <v>69</v>
      </c>
      <c r="C47" s="5"/>
      <c r="D47" s="9" t="n">
        <f aca="false">SUMIFS(D$9:D$23,$A$9:$A$23,$A47,$B$9:$B$23,$B47)</f>
        <v>14660000</v>
      </c>
      <c r="E47" s="9" t="n">
        <f aca="false">SUMIFS(E$9:E$23,$A$9:$A$23,$A47,$B$9:$B$23,$B47)</f>
        <v>15460000</v>
      </c>
      <c r="F47" s="9" t="n">
        <f aca="false">SUMIFS(F$9:F$23,$A$9:$A$23,$A47,$B$9:$B$23,$B47)</f>
        <v>15590000</v>
      </c>
      <c r="G47" s="9" t="n">
        <f aca="false">SUMIFS(G$9:G$23,$A$9:$A$23,$A47,$B$9:$B$23,$B47)</f>
        <v>16290000</v>
      </c>
      <c r="H47" s="9" t="n">
        <f aca="false">SUMIFS(H$9:H$23,$A$9:$A$23,$A47,$B$9:$B$23,$B47)</f>
        <v>16610000</v>
      </c>
      <c r="I47" s="9" t="n">
        <f aca="false">SUMIFS(I$9:I$23,$A$9:$A$23,$A47,$B$9:$B$23,$B47)</f>
        <v>17230000</v>
      </c>
      <c r="J47" s="9" t="n">
        <f aca="false">SUMIFS(J$9:J$23,$A$9:$A$23,$A47,$B$9:$B$23,$B47)</f>
        <v>17590000</v>
      </c>
      <c r="K47" s="9" t="n">
        <f aca="false">SUMIFS(K$9:K$23,$A$9:$A$23,$A47,$B$9:$B$23,$B47)</f>
        <v>18110000</v>
      </c>
      <c r="L47" s="9" t="n">
        <f aca="false">SUMIFS(L$9:L$23,$A$9:$A$23,$A47,$B$9:$B$23,$B47)</f>
        <v>18200000</v>
      </c>
      <c r="M47" s="9" t="n">
        <f aca="false">SUMIFS(M$9:M$23,$A$9:$A$23,$A47,$B$9:$B$23,$B47)</f>
        <v>18830000</v>
      </c>
      <c r="N47" s="9" t="n">
        <f aca="false">SUMIFS(N$9:N$23,$A$9:$A$23,$A47,$B$9:$B$23,$B47)</f>
        <v>19420000</v>
      </c>
      <c r="O47" s="9" t="n">
        <f aca="false">SUMIFS(O$9:O$23,$A$9:$A$23,$A47,$B$9:$B$23,$B47)</f>
        <v>19570000</v>
      </c>
    </row>
    <row r="48" customFormat="false" ht="15" hidden="false" customHeight="true" outlineLevel="0" collapsed="false">
      <c r="A48" s="21" t="s">
        <v>72</v>
      </c>
      <c r="B48" s="21" t="s">
        <v>73</v>
      </c>
      <c r="C48" s="5"/>
      <c r="D48" s="9" t="n">
        <f aca="false">SUMIFS(D$9:D$23,$A$9:$A$23,$A48,$B$9:$B$23,$B48)</f>
        <v>334400000</v>
      </c>
      <c r="E48" s="9" t="n">
        <f aca="false">SUMIFS(E$9:E$23,$A$9:$A$23,$A48,$B$9:$B$23,$B48)</f>
        <v>333200000</v>
      </c>
      <c r="F48" s="9" t="n">
        <f aca="false">SUMIFS(F$9:F$23,$A$9:$A$23,$A48,$B$9:$B$23,$B48)</f>
        <v>332000000</v>
      </c>
      <c r="G48" s="9" t="n">
        <f aca="false">SUMIFS(G$9:G$23,$A$9:$A$23,$A48,$B$9:$B$23,$B48)</f>
        <v>330800000</v>
      </c>
      <c r="H48" s="9" t="n">
        <f aca="false">SUMIFS(H$9:H$23,$A$9:$A$23,$A48,$B$9:$B$23,$B48)</f>
        <v>329600000</v>
      </c>
      <c r="I48" s="9" t="n">
        <f aca="false">SUMIFS(I$9:I$23,$A$9:$A$23,$A48,$B$9:$B$23,$B48)</f>
        <v>328410000</v>
      </c>
      <c r="J48" s="9" t="n">
        <f aca="false">SUMIFS(J$9:J$23,$A$9:$A$23,$A48,$B$9:$B$23,$B48)</f>
        <v>327200000</v>
      </c>
      <c r="K48" s="9" t="n">
        <f aca="false">SUMIFS(K$9:K$23,$A$9:$A$23,$A48,$B$9:$B$23,$B48)</f>
        <v>326000000</v>
      </c>
      <c r="L48" s="9" t="n">
        <f aca="false">SUMIFS(L$9:L$23,$A$9:$A$23,$A48,$B$9:$B$23,$B48)</f>
        <v>324800000</v>
      </c>
      <c r="M48" s="9" t="n">
        <f aca="false">SUMIFS(M$9:M$23,$A$9:$A$23,$A48,$B$9:$B$23,$B48)</f>
        <v>323600000</v>
      </c>
      <c r="N48" s="9" t="n">
        <f aca="false">SUMIFS(N$9:N$23,$A$9:$A$23,$A48,$B$9:$B$23,$B48)</f>
        <v>322400000</v>
      </c>
      <c r="O48" s="9" t="n">
        <f aca="false">SUMIFS(O$9:O$23,$A$9:$A$23,$A48,$B$9:$B$23,$B48)</f>
        <v>321200000</v>
      </c>
    </row>
    <row r="49" customFormat="false" ht="15" hidden="false" customHeight="true" outlineLevel="0" collapsed="false">
      <c r="A49" s="3" t="s">
        <v>92</v>
      </c>
    </row>
  </sheetData>
  <mergeCells count="20">
    <mergeCell ref="A5:C5"/>
    <mergeCell ref="A6:C6"/>
    <mergeCell ref="A7:C7"/>
    <mergeCell ref="A23:C23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</mergeCells>
  <dataValidations count="1">
    <dataValidation allowBlank="true" errorStyle="stop" operator="between" showDropDown="false" showErrorMessage="false" showInputMessage="false" sqref="A9:A22" type="list">
      <formula1>"유동자산,비유동자산,부채"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1월 가계부"</f>
        <v>2025년 1월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7150000</v>
      </c>
      <c r="D5" s="3" t="s">
        <v>4</v>
      </c>
      <c r="E5" s="24" t="n">
        <f aca="false">B7</f>
        <v>2170000</v>
      </c>
    </row>
    <row r="6" customFormat="false" ht="15" hidden="false" customHeight="true" outlineLevel="0" collapsed="false">
      <c r="A6" s="11" t="s">
        <v>3</v>
      </c>
      <c r="B6" s="10" t="n">
        <f aca="false">B7+B8</f>
        <v>4130000</v>
      </c>
      <c r="D6" s="3" t="s">
        <v>5</v>
      </c>
      <c r="E6" s="24" t="n">
        <f aca="false">B8</f>
        <v>1960000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2170000</v>
      </c>
      <c r="D7" s="3" t="s">
        <v>97</v>
      </c>
      <c r="E7" s="24" t="n">
        <f aca="false">MAX(B10,0)</f>
        <v>3020000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1960000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3020000</v>
      </c>
      <c r="D9" s="3" t="s">
        <v>6</v>
      </c>
      <c r="E9" s="24" t="n">
        <f aca="false">MAX(B10,0)</f>
        <v>3020000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3020000</v>
      </c>
      <c r="D10" s="3" t="s">
        <v>7</v>
      </c>
      <c r="E10" s="24" t="n">
        <f aca="false">B11</f>
        <v>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IF(AND(COUNT(자산관리!D$9:D$23)&gt;0,설정!$B$5&lt;&gt;""),MAX(0,설정!$B$5-자산관리!D$29),0)</f>
        <v>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0.422377622377622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4000000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3150000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1250000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200000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1360000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100000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80000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120000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2월 가계부"</f>
        <v>2025년 2월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9650000</v>
      </c>
      <c r="D5" s="3" t="s">
        <v>4</v>
      </c>
      <c r="E5" s="24" t="n">
        <f aca="false">B7</f>
        <v>2180000</v>
      </c>
    </row>
    <row r="6" customFormat="false" ht="15" hidden="false" customHeight="true" outlineLevel="0" collapsed="false">
      <c r="A6" s="11" t="s">
        <v>3</v>
      </c>
      <c r="B6" s="10" t="n">
        <f aca="false">B7+B8</f>
        <v>4320000</v>
      </c>
      <c r="D6" s="3" t="s">
        <v>5</v>
      </c>
      <c r="E6" s="24" t="n">
        <f aca="false">B8</f>
        <v>2140000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2180000</v>
      </c>
      <c r="D7" s="3" t="s">
        <v>97</v>
      </c>
      <c r="E7" s="24" t="n">
        <f aca="false">MAX(B10,0)</f>
        <v>5330000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2140000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6530000</v>
      </c>
      <c r="D9" s="3" t="s">
        <v>6</v>
      </c>
      <c r="E9" s="24" t="n">
        <f aca="false">MAX(B10,0)</f>
        <v>5330000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5330000</v>
      </c>
      <c r="D10" s="3" t="s">
        <v>7</v>
      </c>
      <c r="E10" s="24" t="n">
        <f aca="false">B11</f>
        <v>1200000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IF(AND(COUNT(자산관리!E$9:E$23)&gt;0,COUNT(자산관리!D$9:D$23)&gt;0),MAX(0,자산관리!D$29-자산관리!E$29),0)</f>
        <v>1200000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0.676683937823834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6000000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3150000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500000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1250000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210000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1520000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100000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220000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3월 가계부"</f>
        <v>2025년 3월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7150000</v>
      </c>
      <c r="D5" s="3" t="s">
        <v>4</v>
      </c>
      <c r="E5" s="24" t="n">
        <f aca="false">B7</f>
        <v>2240000</v>
      </c>
    </row>
    <row r="6" customFormat="false" ht="15" hidden="false" customHeight="true" outlineLevel="0" collapsed="false">
      <c r="A6" s="11" t="s">
        <v>3</v>
      </c>
      <c r="B6" s="10" t="n">
        <f aca="false">B7+B8</f>
        <v>4400000</v>
      </c>
      <c r="D6" s="3" t="s">
        <v>5</v>
      </c>
      <c r="E6" s="24" t="n">
        <f aca="false">B8</f>
        <v>2160000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2240000</v>
      </c>
      <c r="D7" s="3" t="s">
        <v>97</v>
      </c>
      <c r="E7" s="24" t="n">
        <f aca="false">MAX(B10,0)</f>
        <v>2750000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2160000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3950000</v>
      </c>
      <c r="D9" s="3" t="s">
        <v>6</v>
      </c>
      <c r="E9" s="24" t="n">
        <f aca="false">MAX(B10,0)</f>
        <v>2750000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2750000</v>
      </c>
      <c r="D10" s="3" t="s">
        <v>7</v>
      </c>
      <c r="E10" s="24" t="n">
        <f aca="false">B11</f>
        <v>1200000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IF(AND(COUNT(자산관리!F$9:F$23)&gt;0,COUNT(자산관리!E$9:E$23)&gt;0),MAX(0,자산관리!E$29-자산관리!F$29),0)</f>
        <v>1200000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0.552447552447552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4000000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3150000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1250000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270000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1680000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100000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80000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4월 가계부"</f>
        <v>2025년 4월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7650000</v>
      </c>
      <c r="D5" s="3" t="s">
        <v>4</v>
      </c>
      <c r="E5" s="24" t="n">
        <f aca="false">B7</f>
        <v>2190000</v>
      </c>
    </row>
    <row r="6" customFormat="false" ht="15" hidden="false" customHeight="true" outlineLevel="0" collapsed="false">
      <c r="A6" s="11" t="s">
        <v>3</v>
      </c>
      <c r="B6" s="10" t="n">
        <f aca="false">B7+B8</f>
        <v>4340000</v>
      </c>
      <c r="D6" s="3" t="s">
        <v>5</v>
      </c>
      <c r="E6" s="24" t="n">
        <f aca="false">B8</f>
        <v>2150000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2190000</v>
      </c>
      <c r="D7" s="3" t="s">
        <v>97</v>
      </c>
      <c r="E7" s="24" t="n">
        <f aca="false">MAX(B10,0)</f>
        <v>3310000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2150000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4510000</v>
      </c>
      <c r="D9" s="3" t="s">
        <v>6</v>
      </c>
      <c r="E9" s="24" t="n">
        <f aca="false">MAX(B10,0)</f>
        <v>3310000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3310000</v>
      </c>
      <c r="D10" s="3" t="s">
        <v>7</v>
      </c>
      <c r="E10" s="24" t="n">
        <f aca="false">B11</f>
        <v>1200000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IF(AND(COUNT(자산관리!G$9:G$23)&gt;0,COUNT(자산관리!F$9:F$23)&gt;0),MAX(0,자산관리!F$29-자산관리!G$29),0)</f>
        <v>1200000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0.589542483660131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4000000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3150000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500000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1250000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220000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1310000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300000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240000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5월 가계부"</f>
        <v>2025년 5월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7650000</v>
      </c>
      <c r="D5" s="3" t="s">
        <v>4</v>
      </c>
      <c r="E5" s="24" t="n">
        <f aca="false">B7</f>
        <v>2260000</v>
      </c>
    </row>
    <row r="6" customFormat="false" ht="15" hidden="false" customHeight="true" outlineLevel="0" collapsed="false">
      <c r="A6" s="11" t="s">
        <v>3</v>
      </c>
      <c r="B6" s="10" t="n">
        <f aca="false">B7+B8</f>
        <v>4220000</v>
      </c>
      <c r="D6" s="3" t="s">
        <v>5</v>
      </c>
      <c r="E6" s="24" t="n">
        <f aca="false">B8</f>
        <v>1960000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2260000</v>
      </c>
      <c r="D7" s="3" t="s">
        <v>97</v>
      </c>
      <c r="E7" s="24" t="n">
        <f aca="false">MAX(B10,0)</f>
        <v>3430000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1960000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4630000</v>
      </c>
      <c r="D9" s="3" t="s">
        <v>6</v>
      </c>
      <c r="E9" s="24" t="n">
        <f aca="false">MAX(B10,0)</f>
        <v>3430000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3430000</v>
      </c>
      <c r="D10" s="3" t="s">
        <v>7</v>
      </c>
      <c r="E10" s="24" t="n">
        <f aca="false">B11</f>
        <v>1200000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IF(AND(COUNT(자산관리!H$9:H$23)&gt;0,COUNT(자산관리!G$9:G$23)&gt;0),MAX(0,자산관리!G$29-자산관리!H$29),0)</f>
        <v>1200000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0.605228758169935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4000000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3150000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500000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1250000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290000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1430000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100000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80000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50000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6월 가계부"</f>
        <v>2025년 6월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7150000</v>
      </c>
      <c r="D5" s="3" t="s">
        <v>4</v>
      </c>
      <c r="E5" s="24" t="n">
        <f aca="false">B7</f>
        <v>2290000</v>
      </c>
    </row>
    <row r="6" customFormat="false" ht="15" hidden="false" customHeight="true" outlineLevel="0" collapsed="false">
      <c r="A6" s="11" t="s">
        <v>3</v>
      </c>
      <c r="B6" s="10" t="n">
        <f aca="false">B7+B8</f>
        <v>4390000</v>
      </c>
      <c r="D6" s="3" t="s">
        <v>5</v>
      </c>
      <c r="E6" s="24" t="n">
        <f aca="false">B8</f>
        <v>2100000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2290000</v>
      </c>
      <c r="D7" s="3" t="s">
        <v>97</v>
      </c>
      <c r="E7" s="24" t="n">
        <f aca="false">MAX(B10,0)</f>
        <v>2760000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2100000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3950000</v>
      </c>
      <c r="D9" s="3" t="s">
        <v>6</v>
      </c>
      <c r="E9" s="24" t="n">
        <f aca="false">MAX(B10,0)</f>
        <v>2760000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2760000</v>
      </c>
      <c r="D10" s="3" t="s">
        <v>7</v>
      </c>
      <c r="E10" s="24" t="n">
        <f aca="false">B11</f>
        <v>1190000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IF(AND(COUNT(자산관리!I$9:I$23)&gt;0,COUNT(자산관리!H$9:H$23)&gt;0),MAX(0,자산관리!H$29-자산관리!I$29),0)</f>
        <v>1190000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0.552447552447552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4000000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3150000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1250000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320000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1380000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300000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120000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7월 가계부"</f>
        <v>2025년 7월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7650000</v>
      </c>
      <c r="D5" s="3" t="s">
        <v>4</v>
      </c>
      <c r="E5" s="24" t="n">
        <f aca="false">B7</f>
        <v>2180000</v>
      </c>
    </row>
    <row r="6" customFormat="false" ht="15" hidden="false" customHeight="true" outlineLevel="0" collapsed="false">
      <c r="A6" s="11" t="s">
        <v>3</v>
      </c>
      <c r="B6" s="10" t="n">
        <f aca="false">B7+B8</f>
        <v>4310000</v>
      </c>
      <c r="D6" s="3" t="s">
        <v>5</v>
      </c>
      <c r="E6" s="24" t="n">
        <f aca="false">B8</f>
        <v>2130000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2180000</v>
      </c>
      <c r="D7" s="3" t="s">
        <v>97</v>
      </c>
      <c r="E7" s="24" t="n">
        <f aca="false">MAX(B10,0)</f>
        <v>3340000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2130000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4550000</v>
      </c>
      <c r="D9" s="3" t="s">
        <v>6</v>
      </c>
      <c r="E9" s="24" t="n">
        <f aca="false">MAX(B10,0)</f>
        <v>3340000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3340000</v>
      </c>
      <c r="D10" s="3" t="s">
        <v>7</v>
      </c>
      <c r="E10" s="24" t="n">
        <f aca="false">B11</f>
        <v>1210000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IF(AND(COUNT(자산관리!J$9:J$23)&gt;0,COUNT(자산관리!I$9:I$23)&gt;0),MAX(0,자산관리!I$29-자산관리!J$29),0)</f>
        <v>1210000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0.594771241830065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4000000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3150000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500000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1250000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210000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1500000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100000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80000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150000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8월 가계부"</f>
        <v>2025년 8월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7150000</v>
      </c>
      <c r="D5" s="3" t="s">
        <v>4</v>
      </c>
      <c r="E5" s="24" t="n">
        <f aca="false">B7</f>
        <v>2280000</v>
      </c>
    </row>
    <row r="6" customFormat="false" ht="15" hidden="false" customHeight="true" outlineLevel="0" collapsed="false">
      <c r="A6" s="11" t="s">
        <v>3</v>
      </c>
      <c r="B6" s="10" t="n">
        <f aca="false">B7+B8</f>
        <v>4150000</v>
      </c>
      <c r="D6" s="3" t="s">
        <v>5</v>
      </c>
      <c r="E6" s="24" t="n">
        <f aca="false">B8</f>
        <v>1870000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2280000</v>
      </c>
      <c r="D7" s="3" t="s">
        <v>97</v>
      </c>
      <c r="E7" s="24" t="n">
        <f aca="false">MAX(B10,0)</f>
        <v>3000000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1870000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4200000</v>
      </c>
      <c r="D9" s="3" t="s">
        <v>6</v>
      </c>
      <c r="E9" s="24" t="n">
        <f aca="false">MAX(B10,0)</f>
        <v>3000000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3000000</v>
      </c>
      <c r="D10" s="3" t="s">
        <v>7</v>
      </c>
      <c r="E10" s="24" t="n">
        <f aca="false">B11</f>
        <v>1200000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IF(AND(COUNT(자산관리!K$9:K$23)&gt;0,COUNT(자산관리!J$9:J$23)&gt;0),MAX(0,자산관리!J$29-자산관리!K$29),0)</f>
        <v>1200000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0.587412587412587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4000000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3150000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1250000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310000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1430000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140000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9월 가계부"</f>
        <v>2025년 9월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9350000</v>
      </c>
      <c r="D5" s="3" t="s">
        <v>4</v>
      </c>
      <c r="E5" s="24" t="n">
        <f aca="false">B7</f>
        <v>2250000</v>
      </c>
    </row>
    <row r="6" customFormat="false" ht="15" hidden="false" customHeight="true" outlineLevel="0" collapsed="false">
      <c r="A6" s="11" t="s">
        <v>3</v>
      </c>
      <c r="B6" s="10" t="n">
        <f aca="false">B7+B8</f>
        <v>4910000</v>
      </c>
      <c r="D6" s="3" t="s">
        <v>5</v>
      </c>
      <c r="E6" s="24" t="n">
        <f aca="false">B8</f>
        <v>2660000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2250000</v>
      </c>
      <c r="D7" s="3" t="s">
        <v>97</v>
      </c>
      <c r="E7" s="24" t="n">
        <f aca="false">MAX(B10,0)</f>
        <v>4440000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2660000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5640000</v>
      </c>
      <c r="D9" s="3" t="s">
        <v>6</v>
      </c>
      <c r="E9" s="24" t="n">
        <f aca="false">MAX(B10,0)</f>
        <v>4440000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4440000</v>
      </c>
      <c r="D10" s="3" t="s">
        <v>7</v>
      </c>
      <c r="E10" s="24" t="n">
        <f aca="false">B11</f>
        <v>1200000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IF(AND(COUNT(자산관리!L$9:L$23)&gt;0,COUNT(자산관리!K$9:K$23)&gt;0),MAX(0,자산관리!K$29-자산관리!L$29),0)</f>
        <v>1200000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0.603208556149733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6000000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3150000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200000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1250000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280000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1750000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300000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80000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230000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10월 가계부"</f>
        <v>2025년 10월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7150000</v>
      </c>
      <c r="D5" s="3" t="s">
        <v>4</v>
      </c>
      <c r="E5" s="24" t="n">
        <f aca="false">B7</f>
        <v>2290000</v>
      </c>
    </row>
    <row r="6" customFormat="false" ht="15" hidden="false" customHeight="true" outlineLevel="0" collapsed="false">
      <c r="A6" s="11" t="s">
        <v>3</v>
      </c>
      <c r="B6" s="10" t="n">
        <f aca="false">B7+B8</f>
        <v>4460000</v>
      </c>
      <c r="D6" s="3" t="s">
        <v>5</v>
      </c>
      <c r="E6" s="24" t="n">
        <f aca="false">B8</f>
        <v>2170000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2290000</v>
      </c>
      <c r="D7" s="3" t="s">
        <v>97</v>
      </c>
      <c r="E7" s="24" t="n">
        <f aca="false">MAX(B10,0)</f>
        <v>2690000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2170000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3890000</v>
      </c>
      <c r="D9" s="3" t="s">
        <v>6</v>
      </c>
      <c r="E9" s="24" t="n">
        <f aca="false">MAX(B10,0)</f>
        <v>2690000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2690000</v>
      </c>
      <c r="D10" s="3" t="s">
        <v>7</v>
      </c>
      <c r="E10" s="24" t="n">
        <f aca="false">B11</f>
        <v>1200000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IF(AND(COUNT(자산관리!M$9:M$23)&gt;0,COUNT(자산관리!L$9:L$23)&gt;0),MAX(0,자산관리!L$29-자산관리!M$29),0)</f>
        <v>1200000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0.544055944055944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4000000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3150000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1250000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320000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1680000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190000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11월 가계부"</f>
        <v>2025년 11월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7650000</v>
      </c>
      <c r="D5" s="3" t="s">
        <v>4</v>
      </c>
      <c r="E5" s="24" t="n">
        <f aca="false">B7</f>
        <v>2230000</v>
      </c>
    </row>
    <row r="6" customFormat="false" ht="15" hidden="false" customHeight="true" outlineLevel="0" collapsed="false">
      <c r="A6" s="11" t="s">
        <v>3</v>
      </c>
      <c r="B6" s="10" t="n">
        <f aca="false">B7+B8</f>
        <v>4310000</v>
      </c>
      <c r="D6" s="3" t="s">
        <v>5</v>
      </c>
      <c r="E6" s="24" t="n">
        <f aca="false">B8</f>
        <v>2080000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2230000</v>
      </c>
      <c r="D7" s="3" t="s">
        <v>97</v>
      </c>
      <c r="E7" s="24" t="n">
        <f aca="false">MAX(B10,0)</f>
        <v>3340000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2080000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4540000</v>
      </c>
      <c r="D9" s="3" t="s">
        <v>6</v>
      </c>
      <c r="E9" s="24" t="n">
        <f aca="false">MAX(B10,0)</f>
        <v>3340000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3340000</v>
      </c>
      <c r="D10" s="3" t="s">
        <v>7</v>
      </c>
      <c r="E10" s="24" t="n">
        <f aca="false">B11</f>
        <v>1200000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IF(AND(COUNT(자산관리!N$9:N$23)&gt;0,COUNT(자산관리!M$9:M$23)&gt;0),MAX(0,자산관리!M$29-자산관리!N$29),0)</f>
        <v>1200000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0.593464052287582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4000000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3150000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500000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1250000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260000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1510000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100000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30000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140000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3"/>
  </cols>
  <sheetData>
    <row r="1" customFormat="false" ht="23.25" hidden="false" customHeight="true" outlineLevel="0" collapsed="false">
      <c r="A1" s="2" t="str">
        <f aca="false">설정!$B$4&amp;"년 12월 가계부"</f>
        <v>2025년 12월 가계부</v>
      </c>
    </row>
    <row r="2" customFormat="false" ht="15" hidden="false" customHeight="true" outlineLevel="0" collapsed="false">
      <c r="A2" s="3" t="s">
        <v>93</v>
      </c>
    </row>
    <row r="4" customFormat="false" ht="15" hidden="false" customHeight="true" outlineLevel="0" collapsed="false">
      <c r="A4" s="4" t="s">
        <v>78</v>
      </c>
      <c r="B4" s="4" t="s">
        <v>94</v>
      </c>
      <c r="D4" s="23" t="s">
        <v>95</v>
      </c>
    </row>
    <row r="5" customFormat="false" ht="15" hidden="false" customHeight="true" outlineLevel="0" collapsed="false">
      <c r="A5" s="11" t="s">
        <v>2</v>
      </c>
      <c r="B5" s="10" t="n">
        <f aca="false">SUMIF($A$15:$A$27,"수입",$C$15:$C$27)</f>
        <v>7650000</v>
      </c>
      <c r="D5" s="3" t="s">
        <v>4</v>
      </c>
      <c r="E5" s="24" t="n">
        <f aca="false">B7</f>
        <v>2230000</v>
      </c>
    </row>
    <row r="6" customFormat="false" ht="15" hidden="false" customHeight="true" outlineLevel="0" collapsed="false">
      <c r="A6" s="11" t="s">
        <v>3</v>
      </c>
      <c r="B6" s="10" t="n">
        <f aca="false">B7+B8</f>
        <v>4500000</v>
      </c>
      <c r="D6" s="3" t="s">
        <v>5</v>
      </c>
      <c r="E6" s="24" t="n">
        <f aca="false">B8</f>
        <v>2270000</v>
      </c>
    </row>
    <row r="7" customFormat="false" ht="15" hidden="false" customHeight="true" outlineLevel="0" collapsed="false">
      <c r="A7" s="21" t="s">
        <v>96</v>
      </c>
      <c r="B7" s="9" t="n">
        <f aca="false">SUMIF($A$15:$A$27,"고정비",$C$15:$C$27)</f>
        <v>2230000</v>
      </c>
      <c r="D7" s="3" t="s">
        <v>97</v>
      </c>
      <c r="E7" s="24" t="n">
        <f aca="false">MAX(B10,0)</f>
        <v>3150000</v>
      </c>
    </row>
    <row r="8" customFormat="false" ht="15" hidden="false" customHeight="true" outlineLevel="0" collapsed="false">
      <c r="A8" s="21" t="s">
        <v>98</v>
      </c>
      <c r="B8" s="9" t="n">
        <f aca="false">SUMIF($A$15:$A$27,"변동비",$C$15:$C$27)</f>
        <v>2270000</v>
      </c>
    </row>
    <row r="9" customFormat="false" ht="15" hidden="false" customHeight="true" outlineLevel="0" collapsed="false">
      <c r="A9" s="11" t="s">
        <v>8</v>
      </c>
      <c r="B9" s="25" t="n">
        <f aca="false">B10+B11</f>
        <v>4350000</v>
      </c>
      <c r="D9" s="3" t="s">
        <v>6</v>
      </c>
      <c r="E9" s="24" t="n">
        <f aca="false">MAX(B10,0)</f>
        <v>3150000</v>
      </c>
    </row>
    <row r="10" customFormat="false" ht="15" hidden="false" customHeight="true" outlineLevel="0" collapsed="false">
      <c r="A10" s="21" t="s">
        <v>99</v>
      </c>
      <c r="B10" s="9" t="n">
        <f aca="false">B5-B6</f>
        <v>3150000</v>
      </c>
      <c r="D10" s="3" t="s">
        <v>7</v>
      </c>
      <c r="E10" s="24" t="n">
        <f aca="false">B11</f>
        <v>1200000</v>
      </c>
    </row>
    <row r="11" customFormat="false" ht="15" hidden="false" customHeight="true" outlineLevel="0" collapsed="false">
      <c r="A11" s="21" t="s">
        <v>100</v>
      </c>
      <c r="B11" s="9" t="n">
        <f aca="false">IF(AND(COUNT(자산관리!O$9:O$23)&gt;0,COUNT(자산관리!N$9:N$23)&gt;0),MAX(0,자산관리!N$29-자산관리!O$29),0)</f>
        <v>1200000</v>
      </c>
    </row>
    <row r="12" customFormat="false" ht="15" hidden="false" customHeight="true" outlineLevel="0" collapsed="false">
      <c r="A12" s="21" t="s">
        <v>9</v>
      </c>
      <c r="B12" s="8" t="n">
        <f aca="false">IF(B5=0,0,B9/B5)</f>
        <v>0.568627450980392</v>
      </c>
    </row>
    <row r="14" customFormat="false" ht="15" hidden="false" customHeight="true" outlineLevel="0" collapsed="false">
      <c r="A14" s="4" t="s">
        <v>101</v>
      </c>
      <c r="B14" s="4" t="s">
        <v>102</v>
      </c>
      <c r="C14" s="4" t="s">
        <v>94</v>
      </c>
      <c r="D14" s="4" t="s">
        <v>103</v>
      </c>
    </row>
    <row r="15" customFormat="false" ht="15" hidden="false" customHeight="true" outlineLevel="0" collapsed="false">
      <c r="A15" s="18" t="s">
        <v>104</v>
      </c>
      <c r="B15" s="18" t="s">
        <v>105</v>
      </c>
      <c r="C15" s="19" t="n">
        <v>4000000</v>
      </c>
      <c r="D15" s="18"/>
    </row>
    <row r="16" customFormat="false" ht="15" hidden="false" customHeight="true" outlineLevel="0" collapsed="false">
      <c r="A16" s="18" t="s">
        <v>104</v>
      </c>
      <c r="B16" s="18" t="s">
        <v>106</v>
      </c>
      <c r="C16" s="19" t="n">
        <v>3150000</v>
      </c>
      <c r="D16" s="18"/>
    </row>
    <row r="17" customFormat="false" ht="15" hidden="false" customHeight="true" outlineLevel="0" collapsed="false">
      <c r="A17" s="18" t="s">
        <v>104</v>
      </c>
      <c r="B17" s="18" t="s">
        <v>107</v>
      </c>
      <c r="C17" s="19" t="n">
        <v>500000</v>
      </c>
      <c r="D17" s="18"/>
    </row>
    <row r="18" customFormat="false" ht="15" hidden="false" customHeight="true" outlineLevel="0" collapsed="false">
      <c r="A18" s="18" t="s">
        <v>4</v>
      </c>
      <c r="B18" s="18" t="s">
        <v>108</v>
      </c>
      <c r="C18" s="19" t="n">
        <v>1250000</v>
      </c>
      <c r="D18" s="18"/>
    </row>
    <row r="19" customFormat="false" ht="15" hidden="false" customHeight="true" outlineLevel="0" collapsed="false">
      <c r="A19" s="18" t="s">
        <v>4</v>
      </c>
      <c r="B19" s="18" t="s">
        <v>109</v>
      </c>
      <c r="C19" s="19" t="n">
        <v>600000</v>
      </c>
      <c r="D19" s="18"/>
    </row>
    <row r="20" customFormat="false" ht="15" hidden="false" customHeight="true" outlineLevel="0" collapsed="false">
      <c r="A20" s="18" t="s">
        <v>4</v>
      </c>
      <c r="B20" s="18" t="s">
        <v>110</v>
      </c>
      <c r="C20" s="19" t="n">
        <v>260000</v>
      </c>
      <c r="D20" s="18"/>
    </row>
    <row r="21" customFormat="false" ht="15" hidden="false" customHeight="true" outlineLevel="0" collapsed="false">
      <c r="A21" s="18" t="s">
        <v>4</v>
      </c>
      <c r="B21" s="18" t="s">
        <v>111</v>
      </c>
      <c r="C21" s="19" t="n">
        <v>120000</v>
      </c>
      <c r="D21" s="18"/>
    </row>
    <row r="22" customFormat="false" ht="15" hidden="false" customHeight="true" outlineLevel="0" collapsed="false">
      <c r="A22" s="18" t="s">
        <v>5</v>
      </c>
      <c r="B22" s="18" t="s">
        <v>112</v>
      </c>
      <c r="C22" s="19" t="n">
        <v>300000</v>
      </c>
      <c r="D22" s="18"/>
    </row>
    <row r="23" customFormat="false" ht="15" hidden="false" customHeight="true" outlineLevel="0" collapsed="false">
      <c r="A23" s="18" t="s">
        <v>5</v>
      </c>
      <c r="B23" s="18" t="s">
        <v>113</v>
      </c>
      <c r="C23" s="19" t="n">
        <v>1610000</v>
      </c>
      <c r="D23" s="18"/>
    </row>
    <row r="24" customFormat="false" ht="15" hidden="false" customHeight="true" outlineLevel="0" collapsed="false">
      <c r="A24" s="18" t="s">
        <v>5</v>
      </c>
      <c r="B24" s="18" t="s">
        <v>114</v>
      </c>
      <c r="C24" s="19" t="n">
        <v>100000</v>
      </c>
      <c r="D24" s="18"/>
    </row>
    <row r="25" customFormat="false" ht="15" hidden="false" customHeight="true" outlineLevel="0" collapsed="false">
      <c r="A25" s="18" t="s">
        <v>5</v>
      </c>
      <c r="B25" s="18" t="s">
        <v>115</v>
      </c>
      <c r="C25" s="19" t="n">
        <v>30000</v>
      </c>
      <c r="D25" s="18"/>
    </row>
    <row r="26" customFormat="false" ht="15" hidden="false" customHeight="true" outlineLevel="0" collapsed="false">
      <c r="A26" s="18" t="s">
        <v>5</v>
      </c>
      <c r="B26" s="18" t="s">
        <v>116</v>
      </c>
      <c r="C26" s="19" t="n">
        <v>230000</v>
      </c>
      <c r="D26" s="18"/>
    </row>
    <row r="27" customFormat="false" ht="15" hidden="false" customHeight="true" outlineLevel="0" collapsed="false">
      <c r="A27" s="20" t="s">
        <v>77</v>
      </c>
      <c r="B27" s="20"/>
      <c r="C27" s="20"/>
      <c r="D27" s="20"/>
    </row>
  </sheetData>
  <mergeCells count="1">
    <mergeCell ref="A27:D27"/>
  </mergeCells>
  <dataValidations count="2">
    <dataValidation allowBlank="true" errorStyle="stop" operator="between" showDropDown="false" showErrorMessage="false" showInputMessage="false" sqref="A15:A26" type="list">
      <formula1>"수입,고정비,변동비"</formula1>
      <formula2>0</formula2>
    </dataValidation>
    <dataValidation allowBlank="true" error="설정 시트 목록에 없는 항목입니다. 그대로 사용하려면 '예'를 누르세요." errorStyle="information" operator="between" showDropDown="false" showErrorMessage="true" showInputMessage="false" sqref="B15:B26" type="list">
      <formula1>설정!$B$8:$B$35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4" min="3" style="1" width="3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8" min="8" style="1" width="3"/>
    <col collapsed="false" customWidth="true" hidden="false" outlineLevel="0" max="9" min="9" style="1" width="90"/>
  </cols>
  <sheetData>
    <row r="1" customFormat="false" ht="23.25" hidden="false" customHeight="true" outlineLevel="0" collapsed="false">
      <c r="A1" s="26" t="s">
        <v>117</v>
      </c>
    </row>
    <row r="2" customFormat="false" ht="15" hidden="false" customHeight="true" outlineLevel="0" collapsed="false">
      <c r="A2" s="3" t="s">
        <v>118</v>
      </c>
    </row>
    <row r="4" customFormat="false" ht="15" hidden="false" customHeight="true" outlineLevel="0" collapsed="false">
      <c r="A4" s="11" t="s">
        <v>119</v>
      </c>
      <c r="B4" s="27" t="n">
        <v>2025</v>
      </c>
    </row>
    <row r="5" customFormat="false" ht="15" hidden="false" customHeight="true" outlineLevel="0" collapsed="false">
      <c r="A5" s="11" t="s">
        <v>120</v>
      </c>
      <c r="B5" s="19"/>
      <c r="C5" s="28" t="s">
        <v>121</v>
      </c>
    </row>
    <row r="6" customFormat="false" ht="15" hidden="false" customHeight="true" outlineLevel="0" collapsed="false">
      <c r="A6" s="29" t="s">
        <v>122</v>
      </c>
      <c r="E6" s="29" t="s">
        <v>123</v>
      </c>
      <c r="I6" s="29" t="s">
        <v>124</v>
      </c>
    </row>
    <row r="7" customFormat="false" ht="15" hidden="false" customHeight="true" outlineLevel="0" collapsed="false">
      <c r="A7" s="4" t="s">
        <v>101</v>
      </c>
      <c r="B7" s="4" t="s">
        <v>102</v>
      </c>
      <c r="E7" s="4" t="s">
        <v>40</v>
      </c>
      <c r="F7" s="4" t="s">
        <v>41</v>
      </c>
      <c r="G7" s="4" t="s">
        <v>42</v>
      </c>
      <c r="I7" s="30" t="s">
        <v>125</v>
      </c>
    </row>
    <row r="8" customFormat="false" ht="15" hidden="false" customHeight="true" outlineLevel="0" collapsed="false">
      <c r="A8" s="18" t="s">
        <v>104</v>
      </c>
      <c r="B8" s="18" t="s">
        <v>105</v>
      </c>
      <c r="E8" s="18" t="s">
        <v>54</v>
      </c>
      <c r="F8" s="18" t="s">
        <v>55</v>
      </c>
      <c r="G8" s="18" t="s">
        <v>56</v>
      </c>
      <c r="I8" s="30" t="s">
        <v>126</v>
      </c>
    </row>
    <row r="9" customFormat="false" ht="15" hidden="false" customHeight="true" outlineLevel="0" collapsed="false">
      <c r="A9" s="18" t="s">
        <v>104</v>
      </c>
      <c r="B9" s="18" t="s">
        <v>106</v>
      </c>
      <c r="E9" s="18" t="s">
        <v>54</v>
      </c>
      <c r="F9" s="18" t="s">
        <v>55</v>
      </c>
      <c r="G9" s="18" t="s">
        <v>57</v>
      </c>
      <c r="I9" s="31" t="s">
        <v>127</v>
      </c>
    </row>
    <row r="10" customFormat="false" ht="15" hidden="false" customHeight="true" outlineLevel="0" collapsed="false">
      <c r="A10" s="18" t="s">
        <v>104</v>
      </c>
      <c r="B10" s="18" t="s">
        <v>107</v>
      </c>
      <c r="E10" s="18" t="s">
        <v>54</v>
      </c>
      <c r="F10" s="18" t="s">
        <v>55</v>
      </c>
      <c r="G10" s="18" t="s">
        <v>58</v>
      </c>
      <c r="I10" s="30" t="s">
        <v>128</v>
      </c>
    </row>
    <row r="11" customFormat="false" ht="15" hidden="false" customHeight="true" outlineLevel="0" collapsed="false">
      <c r="A11" s="18" t="s">
        <v>4</v>
      </c>
      <c r="B11" s="18" t="s">
        <v>108</v>
      </c>
      <c r="E11" s="18" t="s">
        <v>54</v>
      </c>
      <c r="F11" s="18" t="s">
        <v>59</v>
      </c>
      <c r="G11" s="18" t="s">
        <v>60</v>
      </c>
      <c r="I11" s="31" t="s">
        <v>129</v>
      </c>
    </row>
    <row r="12" customFormat="false" ht="15" hidden="false" customHeight="true" outlineLevel="0" collapsed="false">
      <c r="A12" s="18" t="s">
        <v>4</v>
      </c>
      <c r="B12" s="18" t="s">
        <v>109</v>
      </c>
      <c r="E12" s="18" t="s">
        <v>54</v>
      </c>
      <c r="F12" s="18" t="s">
        <v>59</v>
      </c>
      <c r="G12" s="18" t="s">
        <v>61</v>
      </c>
      <c r="I12" s="30" t="s">
        <v>130</v>
      </c>
    </row>
    <row r="13" customFormat="false" ht="15" hidden="false" customHeight="true" outlineLevel="0" collapsed="false">
      <c r="A13" s="18" t="s">
        <v>4</v>
      </c>
      <c r="B13" s="18" t="s">
        <v>110</v>
      </c>
      <c r="E13" s="18" t="s">
        <v>54</v>
      </c>
      <c r="F13" s="18" t="s">
        <v>59</v>
      </c>
      <c r="G13" s="18" t="s">
        <v>62</v>
      </c>
      <c r="I13" s="31" t="s">
        <v>131</v>
      </c>
    </row>
    <row r="14" customFormat="false" ht="15" hidden="false" customHeight="true" outlineLevel="0" collapsed="false">
      <c r="A14" s="18" t="s">
        <v>4</v>
      </c>
      <c r="B14" s="18" t="s">
        <v>111</v>
      </c>
      <c r="E14" s="18" t="s">
        <v>63</v>
      </c>
      <c r="F14" s="18" t="s">
        <v>64</v>
      </c>
      <c r="G14" s="18" t="s">
        <v>65</v>
      </c>
      <c r="I14" s="30" t="s">
        <v>132</v>
      </c>
    </row>
    <row r="15" customFormat="false" ht="15" hidden="false" customHeight="true" outlineLevel="0" collapsed="false">
      <c r="A15" s="18" t="s">
        <v>5</v>
      </c>
      <c r="B15" s="18" t="s">
        <v>112</v>
      </c>
      <c r="E15" s="18" t="s">
        <v>63</v>
      </c>
      <c r="F15" s="18" t="s">
        <v>66</v>
      </c>
      <c r="G15" s="18" t="s">
        <v>67</v>
      </c>
      <c r="I15" s="30" t="s">
        <v>133</v>
      </c>
    </row>
    <row r="16" customFormat="false" ht="15" hidden="false" customHeight="true" outlineLevel="0" collapsed="false">
      <c r="A16" s="18" t="s">
        <v>5</v>
      </c>
      <c r="B16" s="18" t="s">
        <v>113</v>
      </c>
      <c r="E16" s="18" t="s">
        <v>63</v>
      </c>
      <c r="F16" s="18" t="s">
        <v>66</v>
      </c>
      <c r="G16" s="18" t="s">
        <v>68</v>
      </c>
      <c r="I16" s="30" t="s">
        <v>134</v>
      </c>
    </row>
    <row r="17" customFormat="false" ht="15" hidden="false" customHeight="true" outlineLevel="0" collapsed="false">
      <c r="A17" s="18" t="s">
        <v>5</v>
      </c>
      <c r="B17" s="18" t="s">
        <v>114</v>
      </c>
      <c r="E17" s="18" t="s">
        <v>63</v>
      </c>
      <c r="F17" s="18" t="s">
        <v>69</v>
      </c>
      <c r="G17" s="18" t="s">
        <v>70</v>
      </c>
    </row>
    <row r="18" customFormat="false" ht="15" hidden="false" customHeight="true" outlineLevel="0" collapsed="false">
      <c r="A18" s="18" t="s">
        <v>5</v>
      </c>
      <c r="B18" s="18" t="s">
        <v>115</v>
      </c>
      <c r="E18" s="18" t="s">
        <v>63</v>
      </c>
      <c r="F18" s="18" t="s">
        <v>69</v>
      </c>
      <c r="G18" s="18" t="s">
        <v>71</v>
      </c>
    </row>
    <row r="19" customFormat="false" ht="15" hidden="false" customHeight="true" outlineLevel="0" collapsed="false">
      <c r="A19" s="18" t="s">
        <v>5</v>
      </c>
      <c r="B19" s="18" t="s">
        <v>116</v>
      </c>
      <c r="E19" s="18" t="s">
        <v>72</v>
      </c>
      <c r="F19" s="18" t="s">
        <v>73</v>
      </c>
      <c r="G19" s="18" t="s">
        <v>74</v>
      </c>
    </row>
    <row r="20" customFormat="false" ht="15" hidden="false" customHeight="true" outlineLevel="0" collapsed="false">
      <c r="A20" s="18"/>
      <c r="B20" s="18"/>
      <c r="E20" s="18" t="s">
        <v>72</v>
      </c>
      <c r="F20" s="18" t="s">
        <v>73</v>
      </c>
      <c r="G20" s="18" t="s">
        <v>75</v>
      </c>
    </row>
    <row r="21" customFormat="false" ht="15" hidden="false" customHeight="true" outlineLevel="0" collapsed="false">
      <c r="A21" s="18"/>
      <c r="B21" s="18"/>
      <c r="E21" s="18" t="s">
        <v>72</v>
      </c>
      <c r="F21" s="18" t="s">
        <v>73</v>
      </c>
      <c r="G21" s="18" t="s">
        <v>76</v>
      </c>
    </row>
    <row r="22" customFormat="false" ht="15" hidden="false" customHeight="true" outlineLevel="0" collapsed="false">
      <c r="A22" s="18"/>
      <c r="B22" s="18"/>
      <c r="E22" s="18"/>
      <c r="F22" s="18"/>
      <c r="G22" s="18"/>
    </row>
    <row r="23" customFormat="false" ht="15" hidden="false" customHeight="true" outlineLevel="0" collapsed="false">
      <c r="A23" s="18"/>
      <c r="B23" s="18"/>
      <c r="E23" s="18"/>
      <c r="F23" s="18"/>
      <c r="G23" s="18"/>
    </row>
    <row r="24" customFormat="false" ht="15" hidden="false" customHeight="true" outlineLevel="0" collapsed="false">
      <c r="A24" s="18"/>
      <c r="B24" s="18"/>
      <c r="E24" s="18"/>
      <c r="F24" s="18"/>
      <c r="G24" s="18"/>
    </row>
    <row r="25" customFormat="false" ht="15" hidden="false" customHeight="true" outlineLevel="0" collapsed="false">
      <c r="A25" s="18"/>
      <c r="B25" s="18"/>
      <c r="E25" s="18"/>
      <c r="F25" s="18"/>
      <c r="G25" s="18"/>
    </row>
    <row r="26" customFormat="false" ht="15" hidden="false" customHeight="true" outlineLevel="0" collapsed="false">
      <c r="A26" s="18"/>
      <c r="B26" s="18"/>
      <c r="E26" s="18"/>
      <c r="F26" s="18"/>
      <c r="G26" s="18"/>
    </row>
    <row r="27" customFormat="false" ht="15" hidden="false" customHeight="true" outlineLevel="0" collapsed="false">
      <c r="A27" s="18"/>
      <c r="B27" s="18"/>
      <c r="E27" s="18"/>
      <c r="F27" s="18"/>
      <c r="G27" s="18"/>
    </row>
    <row r="28" customFormat="false" ht="15" hidden="false" customHeight="true" outlineLevel="0" collapsed="false">
      <c r="A28" s="18"/>
      <c r="B28" s="18"/>
      <c r="E28" s="18"/>
      <c r="F28" s="18"/>
      <c r="G28" s="18"/>
    </row>
    <row r="29" customFormat="false" ht="15" hidden="false" customHeight="true" outlineLevel="0" collapsed="false">
      <c r="A29" s="18"/>
      <c r="B29" s="18"/>
      <c r="E29" s="18"/>
      <c r="F29" s="18"/>
      <c r="G29" s="18"/>
    </row>
    <row r="30" customFormat="false" ht="15" hidden="false" customHeight="true" outlineLevel="0" collapsed="false">
      <c r="A30" s="18"/>
      <c r="B30" s="18"/>
      <c r="E30" s="18"/>
      <c r="F30" s="18"/>
      <c r="G30" s="18"/>
    </row>
    <row r="31" customFormat="false" ht="15" hidden="false" customHeight="true" outlineLevel="0" collapsed="false">
      <c r="A31" s="18"/>
      <c r="B31" s="18"/>
      <c r="E31" s="18"/>
      <c r="F31" s="18"/>
      <c r="G31" s="18"/>
    </row>
    <row r="32" customFormat="false" ht="15" hidden="false" customHeight="true" outlineLevel="0" collapsed="false">
      <c r="A32" s="18"/>
      <c r="B32" s="18"/>
      <c r="E32" s="18"/>
      <c r="F32" s="18"/>
      <c r="G32" s="18"/>
    </row>
    <row r="33" customFormat="false" ht="15" hidden="false" customHeight="true" outlineLevel="0" collapsed="false">
      <c r="A33" s="18"/>
      <c r="B33" s="18"/>
      <c r="E33" s="18"/>
      <c r="F33" s="18"/>
      <c r="G33" s="18"/>
    </row>
    <row r="34" customFormat="false" ht="15" hidden="false" customHeight="true" outlineLevel="0" collapsed="false">
      <c r="A34" s="18"/>
      <c r="B34" s="18"/>
      <c r="E34" s="18"/>
      <c r="F34" s="18"/>
      <c r="G34" s="18"/>
    </row>
    <row r="35" customFormat="false" ht="15" hidden="false" customHeight="true" outlineLevel="0" collapsed="false">
      <c r="A35" s="18"/>
      <c r="B35" s="18"/>
      <c r="E35" s="18"/>
      <c r="F35" s="18"/>
      <c r="G35" s="18"/>
    </row>
    <row r="36" customFormat="false" ht="15" hidden="false" customHeight="true" outlineLevel="0" collapsed="false">
      <c r="E36" s="18"/>
      <c r="F36" s="18"/>
      <c r="G36" s="18"/>
    </row>
    <row r="37" customFormat="false" ht="15" hidden="false" customHeight="true" outlineLevel="0" collapsed="false">
      <c r="E37" s="18"/>
      <c r="F37" s="18"/>
      <c r="G37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2026-10-29T02:50:42Z</dcterms:created>
  <dc:creator>openpyxl</dc:creator>
  <dc:description/>
  <dc:language>en-US</dc:language>
  <cp:lastModifiedBy/>
  <dcterms:modified xsi:type="dcterms:W3CDTF">2026-10-29T11:52:03Z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